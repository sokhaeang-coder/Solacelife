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artner Scoring System" sheetId="2" state="visible" r:id="rId4"/>
    <sheet name="Fixed Fee Projections" sheetId="3" state="visible" r:id="rId5"/>
    <sheet name="Percentage Fee Projections" sheetId="4" state="visible" r:id="rId6"/>
    <sheet name="Model Comparison" sheetId="5" state="visible" r:id="rId7"/>
    <sheet name="User Survey" sheetId="6" state="visible" r:id="rId8"/>
    <sheet name="Partner Score Tracker"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<sst xmlns="http://schemas.openxmlformats.org/spreadsheetml/2006/main" count="393" uniqueCount="291">
  <si>
    <t xml:space="preserve">Solace Life — Partner Revenue Model Assumptions</t>
  </si>
  <si>
    <t xml:space="preserve">  Blue cells = inputs you can change</t>
  </si>
  <si>
    <t xml:space="preserve">  SECTION A — USER GROWTH</t>
  </si>
  <si>
    <t xml:space="preserve">Assumption</t>
  </si>
  <si>
    <t xml:space="preserve">Value</t>
  </si>
  <si>
    <t xml:space="preserve">Notes</t>
  </si>
  <si>
    <t xml:space="preserve">Month 6 paid users</t>
  </si>
  <si>
    <t xml:space="preserve">Source: Investor model — M6 milestone</t>
  </si>
  <si>
    <t xml:space="preserve">Year 1 paid users (Month 12)</t>
  </si>
  <si>
    <t xml:space="preserve">Source: Investor model — Y1 milestone</t>
  </si>
  <si>
    <t xml:space="preserve">Year 2 paid users (Month 24)</t>
  </si>
  <si>
    <t xml:space="preserve">Source: Investor model — Y2 milestone</t>
  </si>
  <si>
    <t xml:space="preserve">Annual referral engagement rate</t>
  </si>
  <si>
    <t xml:space="preserve">Conservative; users are actively planning estates/legacy</t>
  </si>
  <si>
    <t xml:space="preserve">  SECTION B — PARTNER TYPE LEAD DISTRIBUTION  (must sum to 100%)</t>
  </si>
  <si>
    <t xml:space="preserve">Partner Type</t>
  </si>
  <si>
    <t xml:space="preserve">Lead Share %</t>
  </si>
  <si>
    <t xml:space="preserve">Estate &amp; Wills Lawyers</t>
  </si>
  <si>
    <t xml:space="preserve">Highest intent — users actively creating wills/trusts</t>
  </si>
  <si>
    <t xml:space="preserve">Financial Planners</t>
  </si>
  <si>
    <t xml:space="preserve">Estate &amp; retirement planning alignment</t>
  </si>
  <si>
    <t xml:space="preserve">Realtors</t>
  </si>
  <si>
    <t xml:space="preserve">Downsizing, estate property sales</t>
  </si>
  <si>
    <t xml:space="preserve">Senior Living</t>
  </si>
  <si>
    <t xml:space="preserve">Care transition support</t>
  </si>
  <si>
    <t xml:space="preserve">CPA / Tax</t>
  </si>
  <si>
    <t xml:space="preserve">Estate tax, trust administration</t>
  </si>
  <si>
    <t xml:space="preserve">TOTAL</t>
  </si>
  <si>
    <t xml:space="preserve">Must equal 100.0%</t>
  </si>
  <si>
    <t xml:space="preserve">  SECTION C — CLOSE RATES BY PARTNER TYPE  (Year 1 baseline, before scoring optimization)</t>
  </si>
  <si>
    <t xml:space="preserve">Close Rate %</t>
  </si>
  <si>
    <t xml:space="preserve">Estate Lawyers</t>
  </si>
  <si>
    <t xml:space="preserve">Motivated buyers — high intent users</t>
  </si>
  <si>
    <t xml:space="preserve">More competitive — users may already have advisors</t>
  </si>
  <si>
    <t xml:space="preserve">Strong when user is actively downsizing</t>
  </si>
  <si>
    <t xml:space="preserve">Longer decision cycle</t>
  </si>
  <si>
    <t xml:space="preserve">High conversion when timing aligns with filing season</t>
  </si>
  <si>
    <t xml:space="preserve">  SECTION D — CLOSE RATE IMPROVEMENT  (Year 2, after partner scoring system in place)</t>
  </si>
  <si>
    <t xml:space="preserve">Close rate improvement applied to all partner types (absolute pp)</t>
  </si>
  <si>
    <t xml:space="preserve">Partner scoring system routes leads to higher-performing partners</t>
  </si>
  <si>
    <t xml:space="preserve">  SECTION E — FIXED FEE MODEL  (flat fee per closed referral paid to Solace Life)</t>
  </si>
  <si>
    <t xml:space="preserve">Fixed Fee ($)</t>
  </si>
  <si>
    <t xml:space="preserve">Basis Notes</t>
  </si>
  <si>
    <t xml:space="preserve">Blended simple will $1,500–$5,000 × 15% referral fee</t>
  </si>
  <si>
    <t xml:space="preserve">First engagement fee $2,000–$5,000 × ~15%</t>
  </si>
  <si>
    <t xml:space="preserve">Flat fee per closed transaction</t>
  </si>
  <si>
    <t xml:space="preserve">Referral fee on first month placement</t>
  </si>
  <si>
    <t xml:space="preserve">Referral fee on first engagement</t>
  </si>
  <si>
    <t xml:space="preserve">  SECTION F — PERCENTAGE FEE MODEL  (% of partner's gross first engagement value)</t>
  </si>
  <si>
    <t xml:space="preserve">Fee %</t>
  </si>
  <si>
    <t xml:space="preserve">Avg first engagement $3,000 → ~$450 per close</t>
  </si>
  <si>
    <t xml:space="preserve">Avg first year fee $3,500 → ~$420 per close</t>
  </si>
  <si>
    <t xml:space="preserve">Avg gross commission $17,500 (Cdn $700K × 2.5%) → ~$3,500 per close</t>
  </si>
  <si>
    <t xml:space="preserve">Avg first month $4,500 → ~$675 per close</t>
  </si>
  <si>
    <t xml:space="preserve">Avg first engagement $1,500 → ~$225 per close</t>
  </si>
  <si>
    <t xml:space="preserve">  SECTION G — AVERAGE ENGAGEMENT VALUES  (reference basis for % fee calculation)</t>
  </si>
  <si>
    <t xml:space="preserve">Avg Engagement Value ($)</t>
  </si>
  <si>
    <t xml:space="preserve">Estate Lawyers avg engagement</t>
  </si>
  <si>
    <t xml:space="preserve">Simple will through complex trust — blended average</t>
  </si>
  <si>
    <t xml:space="preserve">Financial Planners avg first-year fee</t>
  </si>
  <si>
    <t xml:space="preserve">AUM-based or flat fee planning engagement</t>
  </si>
  <si>
    <t xml:space="preserve">Realtors avg gross commission</t>
  </si>
  <si>
    <t xml:space="preserve">Canadian avg home $700K × 2.5% commission</t>
  </si>
  <si>
    <t xml:space="preserve">Senior Living avg first month</t>
  </si>
  <si>
    <t xml:space="preserve">Assisted living / retirement community entry month</t>
  </si>
  <si>
    <t xml:space="preserve">CPA avg first engagement</t>
  </si>
  <si>
    <t xml:space="preserve">Tax filing + estate/trust returns</t>
  </si>
  <si>
    <t xml:space="preserve">Solace Life Partner Scoring System</t>
  </si>
  <si>
    <t xml:space="preserve">Quarterly score determines referral volume allocation. Partners scored 0–100.</t>
  </si>
  <si>
    <t xml:space="preserve">  SCORING CRITERIA &amp; WEIGHTS</t>
  </si>
  <si>
    <t xml:space="preserve">Criterion</t>
  </si>
  <si>
    <t xml:space="preserve">Weight</t>
  </si>
  <si>
    <t xml:space="preserve">–</t>
  </si>
  <si>
    <t xml:space="preserve">Description</t>
  </si>
  <si>
    <t xml:space="preserve">Closing Ratio</t>
  </si>
  <si>
    <t xml:space="preserve">40%</t>
  </si>
  <si>
    <t xml:space="preserve">Percentage of referred leads that result in a retained client</t>
  </si>
  <si>
    <t xml:space="preserve">Client Satisfaction</t>
  </si>
  <si>
    <t xml:space="preserve">25%</t>
  </si>
  <si>
    <t xml:space="preserve">Average user rating after referral (1–5 stars, normalized to 100)</t>
  </si>
  <si>
    <t xml:space="preserve">Response Time</t>
  </si>
  <si>
    <t xml:space="preserve">20%</t>
  </si>
  <si>
    <t xml:space="preserve">Speed of first contact: &lt;24h=100, &lt;48h=75, &lt;72h=50, &gt;72h=0</t>
  </si>
  <si>
    <t xml:space="preserve">Partnership Engagement</t>
  </si>
  <si>
    <t xml:space="preserve">15%</t>
  </si>
  <si>
    <t xml:space="preserve">Profile completeness, training completion, active participation</t>
  </si>
  <si>
    <t xml:space="preserve">  PARTNER TIER DEFINITIONS</t>
  </si>
  <si>
    <t xml:space="preserve">Tier</t>
  </si>
  <si>
    <t xml:space="preserve">Score Range</t>
  </si>
  <si>
    <t xml:space="preserve">Badge</t>
  </si>
  <si>
    <t xml:space="preserve">Referral Volume Allocation</t>
  </si>
  <si>
    <t xml:space="preserve">Platinum</t>
  </si>
  <si>
    <t xml:space="preserve">90–100</t>
  </si>
  <si>
    <t xml:space="preserve">40% of available leads in region/category</t>
  </si>
  <si>
    <t xml:space="preserve">Top performers — priority routing</t>
  </si>
  <si>
    <t xml:space="preserve">Gold</t>
  </si>
  <si>
    <t xml:space="preserve">75–89</t>
  </si>
  <si>
    <t xml:space="preserve">30%</t>
  </si>
  <si>
    <t xml:space="preserve">Strong performers — standard priority</t>
  </si>
  <si>
    <t xml:space="preserve">Silver</t>
  </si>
  <si>
    <t xml:space="preserve">55–74</t>
  </si>
  <si>
    <t xml:space="preserve">Adequate — monitored, improvement encouraged</t>
  </si>
  <si>
    <t xml:space="preserve">Bronze</t>
  </si>
  <si>
    <t xml:space="preserve">40–54</t>
  </si>
  <si>
    <t xml:space="preserve">10%</t>
  </si>
  <si>
    <t xml:space="preserve">Below expectations — formal improvement plan</t>
  </si>
  <si>
    <t xml:space="preserve">Suspended</t>
  </si>
  <si>
    <t xml:space="preserve">Below 40</t>
  </si>
  <si>
    <t xml:space="preserve">0%</t>
  </si>
  <si>
    <t xml:space="preserve">Paused pending review</t>
  </si>
  <si>
    <t xml:space="preserve">  — QUARTERLY PARTNER SCORING CALCULATOR —</t>
  </si>
  <si>
    <t xml:space="preserve">Partner Name:</t>
  </si>
  <si>
    <t xml:space="preserve">Enter partner company or individual name</t>
  </si>
  <si>
    <t xml:space="preserve">Closing Ratio (enter as %):</t>
  </si>
  <si>
    <t xml:space="preserve">E.g. enter 0.40 for 40% close rate</t>
  </si>
  <si>
    <t xml:space="preserve">Client Satisfaction (1.0–5.0):</t>
  </si>
  <si>
    <t xml:space="preserve">Rating on 1–5 star scale</t>
  </si>
  <si>
    <t xml:space="preserve">Response Time Score (0–100):</t>
  </si>
  <si>
    <t xml:space="preserve">Use scoring guide: &lt;24h=100, &lt;48h=75, &lt;72h=50, &gt;72h=0</t>
  </si>
  <si>
    <t xml:space="preserve">Partnership Engagement (0–100):</t>
  </si>
  <si>
    <t xml:space="preserve">Composite: profile, training, participation</t>
  </si>
  <si>
    <t xml:space="preserve">  CALCULATED OUTPUTS</t>
  </si>
  <si>
    <t xml:space="preserve">Closing Ratio Score (0–100):</t>
  </si>
  <si>
    <t xml:space="preserve">Close rate × 100  (e.g. 40% → score of 40)</t>
  </si>
  <si>
    <t xml:space="preserve">Satisfaction Score Normalized (0–100):</t>
  </si>
  <si>
    <t xml:space="preserve">(Stars − 1) / 4 × 100  (e.g. 4.5 stars → 87.5)</t>
  </si>
  <si>
    <t xml:space="preserve">Weighted Score (0–100):</t>
  </si>
  <si>
    <t xml:space="preserve">Weighted: Close×40% + Satisfaction×25% + Response×20% + Engagement×15%</t>
  </si>
  <si>
    <t xml:space="preserve">Partner Tier:</t>
  </si>
  <si>
    <t xml:space="preserve">Platinum ≥90 | Gold ≥75 | Silver ≥55 | Bronze ≥40 | Suspended &lt;40</t>
  </si>
  <si>
    <t xml:space="preserve">Referral Volume Allocation:</t>
  </si>
  <si>
    <t xml:space="preserve">% of available leads in partner's region/category</t>
  </si>
  <si>
    <t xml:space="preserve">Quarterly Action Required:</t>
  </si>
  <si>
    <t xml:space="preserve">Triggered automatically based on tier result</t>
  </si>
  <si>
    <t xml:space="preserve">Partner Revenue Projections — Fixed Fee Model</t>
  </si>
  <si>
    <t xml:space="preserve">Flat fee paid to Solace Life per closed referral, regardless of deal size</t>
  </si>
  <si>
    <t xml:space="preserve">LEADS GENERATED</t>
  </si>
  <si>
    <t xml:space="preserve">CLOSED DEALS</t>
  </si>
  <si>
    <t xml:space="preserve">FIXED FEE REVENUE</t>
  </si>
  <si>
    <t xml:space="preserve">Period</t>
  </si>
  <si>
    <t xml:space="preserve">Paid Users</t>
  </si>
  <si>
    <t xml:space="preserve">Annual Leads</t>
  </si>
  <si>
    <t xml:space="preserve">Fin. Planners</t>
  </si>
  <si>
    <t xml:space="preserve">TOTAL REVENUE</t>
  </si>
  <si>
    <t xml:space="preserve">Month 6</t>
  </si>
  <si>
    <t xml:space="preserve">Year 1</t>
  </si>
  <si>
    <t xml:space="preserve">Year 2</t>
  </si>
  <si>
    <t xml:space="preserve">  SUMMARY</t>
  </si>
  <si>
    <t xml:space="preserve">6-Month Revenue Total</t>
  </si>
  <si>
    <t xml:space="preserve">Year 1 Revenue Total</t>
  </si>
  <si>
    <t xml:space="preserve">Year 2 Revenue Total</t>
  </si>
  <si>
    <t xml:space="preserve">2-Year Cumulative Revenue</t>
  </si>
  <si>
    <t xml:space="preserve">Year 2 vs Year 1 Growth</t>
  </si>
  <si>
    <t xml:space="preserve">Partner Revenue Projections — Percentage Fee Model</t>
  </si>
  <si>
    <t xml:space="preserve">Solace Life earns % of partner's gross first engagement value per closed referral</t>
  </si>
  <si>
    <t xml:space="preserve">PERCENTAGE FEE REVENUE</t>
  </si>
  <si>
    <t xml:space="preserve">  WHY THE PERCENTAGE MODEL OUTPERFORMS FIXED FEES</t>
  </si>
  <si>
    <t xml:space="preserve">1.  REALTOR LEVERAGE: Realtors generate ~$17,500 in gross commission per transaction. At 20%, Solace Life earns ~$3,500 per close vs. a $800 fixed fee — a 4.4× uplift on the single largest partner category.</t>
  </si>
  <si>
    <t xml:space="preserve">2.  SCALES WITH MARKET VALUE: As property values and professional fees grow over time, % revenue grows automatically — fixed fees do not.</t>
  </si>
  <si>
    <t xml:space="preserve">3.  ALIGNMENT OF INTERESTS: % fee aligns Solace Life with partner success. Higher-quality referrals = larger engagements = greater shared upside for both parties.</t>
  </si>
  <si>
    <t xml:space="preserve">Fixed vs. Percentage Model — Summary Comparison</t>
  </si>
  <si>
    <t xml:space="preserve">All revenue figures from Fixed Fee Projections and Percentage Fee Projections sheets</t>
  </si>
  <si>
    <t xml:space="preserve">  HEAD-TO-HEAD COMPARISON — ALL PERIODS</t>
  </si>
  <si>
    <t xml:space="preserve">Metric</t>
  </si>
  <si>
    <t xml:space="preserve">2-Year Cumulative</t>
  </si>
  <si>
    <t xml:space="preserve">Fixed Fee Revenue</t>
  </si>
  <si>
    <t xml:space="preserve">Percentage Fee Revenue</t>
  </si>
  <si>
    <t xml:space="preserve">Uplift from % Model ($)</t>
  </si>
  <si>
    <t xml:space="preserve">Uplift from % Model (%)</t>
  </si>
  <si>
    <t xml:space="preserve">  REVENUE BREAKDOWN BY PARTNER TYPE — YEAR 2</t>
  </si>
  <si>
    <t xml:space="preserve">Fixed Fee Revenue (Y2)</t>
  </si>
  <si>
    <t xml:space="preserve">Pct Fee Revenue (Y2)</t>
  </si>
  <si>
    <t xml:space="preserve">Fixed Fee Revenue ($)</t>
  </si>
  <si>
    <t xml:space="preserve">Pct Fee Revenue ($)</t>
  </si>
  <si>
    <t xml:space="preserve">Uplift ($)</t>
  </si>
  <si>
    <t xml:space="preserve">Uplift (%)</t>
  </si>
  <si>
    <t xml:space="preserve">  RECOMMENDATION</t>
  </si>
  <si>
    <t xml:space="preserve">RECOMMENDATION: The percentage-based model generates materially higher revenue at every stage, driven primarily by real estate transaction values. The fixed fee model provides certainty and simplicity but leaves significant value on the table. Recommended: Launch with percentage model, with a minimum floor (e.g., $300 minimum per referral regardless of deal size) to protect against edge cases.</t>
  </si>
  <si>
    <t xml:space="preserve">SOLACE LIFE — PARTNER USER SURVEY</t>
  </si>
  <si>
    <t xml:space="preserve">Sent to users after each partner interaction  ·  1–5 Star Rating Scale  ·  Results feed directly into partner composite scores</t>
  </si>
  <si>
    <t xml:space="preserve">SURVEY QUESTIONS</t>
  </si>
  <si>
    <t xml:space="preserve">#</t>
  </si>
  <si>
    <t xml:space="preserve">Survey Question (shown to Solace Life user)</t>
  </si>
  <si>
    <t xml:space="preserve">Scoring Criterion</t>
  </si>
  <si>
    <t xml:space="preserve">1 ★  (Lowest)</t>
  </si>
  <si>
    <t xml:space="preserve">3 ★★★ (Mid)</t>
  </si>
  <si>
    <t xml:space="preserve">5 ★★★★★ (Highest)</t>
  </si>
  <si>
    <t xml:space="preserve">Q1</t>
  </si>
  <si>
    <t xml:space="preserve">How quickly did [Partner Name] respond to your initial inquiry?</t>
  </si>
  <si>
    <t xml:space="preserve">No response / days later</t>
  </si>
  <si>
    <t xml:space="preserve">24 hours</t>
  </si>
  <si>
    <t xml:space="preserve">Within hours</t>
  </si>
  <si>
    <t xml:space="preserve">Q2</t>
  </si>
  <si>
    <t xml:space="preserve">How would you rate [Partner Name]'s communication throughout the process?</t>
  </si>
  <si>
    <t xml:space="preserve">Satisfaction</t>
  </si>
  <si>
    <t xml:space="preserve">Unclear, unhelpful</t>
  </si>
  <si>
    <t xml:space="preserve">Adequate</t>
  </si>
  <si>
    <t xml:space="preserve">Clear and proactive</t>
  </si>
  <si>
    <t xml:space="preserve">Q3</t>
  </si>
  <si>
    <t xml:space="preserve">Did [Partner Name] take time to understand your specific needs and situation?</t>
  </si>
  <si>
    <t xml:space="preserve">Not at all</t>
  </si>
  <si>
    <t xml:space="preserve">Somewhat</t>
  </si>
  <si>
    <t xml:space="preserve">Fully understood</t>
  </si>
  <si>
    <t xml:space="preserve">Q4</t>
  </si>
  <si>
    <t xml:space="preserve">Did you complete a transaction or service engagement with [Partner Name]?</t>
  </si>
  <si>
    <t xml:space="preserve">No — did not proceed</t>
  </si>
  <si>
    <t xml:space="preserve">Partial engagement</t>
  </si>
  <si>
    <t xml:space="preserve">Yes — completed</t>
  </si>
  <si>
    <t xml:space="preserve">Q5</t>
  </si>
  <si>
    <t xml:space="preserve">Would you recommend [Partner Name] to another Solace Life member?</t>
  </si>
  <si>
    <t xml:space="preserve">Recommendation</t>
  </si>
  <si>
    <t xml:space="preserve">Definitely not</t>
  </si>
  <si>
    <t xml:space="preserve">Maybe</t>
  </si>
  <si>
    <t xml:space="preserve">Absolutely</t>
  </si>
  <si>
    <t xml:space="preserve">Q6</t>
  </si>
  <si>
    <t xml:space="preserve">Overall, how satisfied are you with your experience with [Partner Name]?</t>
  </si>
  <si>
    <t xml:space="preserve">  —</t>
  </si>
  <si>
    <t xml:space="preserve">Very dissatisfied</t>
  </si>
  <si>
    <t xml:space="preserve">Neutral</t>
  </si>
  <si>
    <t xml:space="preserve">Extremely satisfied</t>
  </si>
  <si>
    <t xml:space="preserve">(Q6 averaged with Q2 &amp; Q3 for Satisfaction criterion)</t>
  </si>
  <si>
    <t xml:space="preserve">SCORE CONVERSION</t>
  </si>
  <si>
    <t xml:space="preserve">Stars Awarded</t>
  </si>
  <si>
    <t xml:space="preserve">1 ★</t>
  </si>
  <si>
    <t xml:space="preserve">2 ★★</t>
  </si>
  <si>
    <t xml:space="preserve">3 ★★★</t>
  </si>
  <si>
    <t xml:space="preserve">4 ★★★★</t>
  </si>
  <si>
    <t xml:space="preserve">5 ★★★★★</t>
  </si>
  <si>
    <t xml:space="preserve">Score (0–100)</t>
  </si>
  <si>
    <t xml:space="preserve">0</t>
  </si>
  <si>
    <t xml:space="preserve">25</t>
  </si>
  <si>
    <t xml:space="preserve">50</t>
  </si>
  <si>
    <t xml:space="preserve">75</t>
  </si>
  <si>
    <t xml:space="preserve">100</t>
  </si>
  <si>
    <t xml:space="preserve">Formula: Score = (Stars − 1) ÷ 4 × 100   |   Q4 (Transaction Completed): Yes = 100 pts, No = 0 pts</t>
  </si>
  <si>
    <t xml:space="preserve">SAMPLE COMPLETED SURVEY (Demo)</t>
  </si>
  <si>
    <t xml:space="preserve">Partner Name</t>
  </si>
  <si>
    <t xml:space="preserve">Harbour Wealth Planning</t>
  </si>
  <si>
    <t xml:space="preserve">Financial Planner</t>
  </si>
  <si>
    <t xml:space="preserve">Solace User ID</t>
  </si>
  <si>
    <t xml:space="preserve">SL-8842 (anonymized in system)</t>
  </si>
  <si>
    <t xml:space="preserve">Date of Interaction</t>
  </si>
  <si>
    <t xml:space="preserve">May 12, 2026</t>
  </si>
  <si>
    <t xml:space="preserve">Q1 — Response Time</t>
  </si>
  <si>
    <t xml:space="preserve">★★★★★  5 stars</t>
  </si>
  <si>
    <t xml:space="preserve">Q2 — Communication</t>
  </si>
  <si>
    <t xml:space="preserve">★★★★☆  4 stars</t>
  </si>
  <si>
    <t xml:space="preserve">Q3 — Understood Needs</t>
  </si>
  <si>
    <t xml:space="preserve">Q4 — Transaction Complete</t>
  </si>
  <si>
    <t xml:space="preserve">Yes ✓  (counts as 100 pts)</t>
  </si>
  <si>
    <t xml:space="preserve">Q5 — Recommendation</t>
  </si>
  <si>
    <t xml:space="preserve">Q6 — Overall Satisfaction</t>
  </si>
  <si>
    <t xml:space="preserve">Calculated Composite Score</t>
  </si>
  <si>
    <t xml:space="preserve">96.3 / 100  →  Tier: Platinum</t>
  </si>
  <si>
    <t xml:space="preserve">SOLACE LIFE — PARTNER SCORE TRACKER</t>
  </si>
  <si>
    <t xml:space="preserve">Quarterly composite scores derived from user survey data  ·  Blue cells = manual input  ·  Black cells = auto-calculated</t>
  </si>
  <si>
    <t xml:space="preserve">TIER THRESHOLDS</t>
  </si>
  <si>
    <t xml:space="preserve">85 – 100</t>
  </si>
  <si>
    <t xml:space="preserve">70 – 84</t>
  </si>
  <si>
    <t xml:space="preserve">55 – 69</t>
  </si>
  <si>
    <t xml:space="preserve">40 – 54</t>
  </si>
  <si>
    <t xml:space="preserve">&lt; 40</t>
  </si>
  <si>
    <t xml:space="preserve">Composite Score = (Transaction Rate × 30%) + (Avg Satisfaction Stars→100 × 25%) + (Response Time Stars→100 × 20%) + (Recommendation Rate × 25%)</t>
  </si>
  <si>
    <t xml:space="preserve">Q2 2026 — CURRENT QUARTER SCORES</t>
  </si>
  <si>
    <t xml:space="preserve">Type</t>
  </si>
  <si>
    <t xml:space="preserve">Surveys
This Qtr</t>
  </si>
  <si>
    <t xml:space="preserve">Q1
Response
Time ★</t>
  </si>
  <si>
    <t xml:space="preserve">Q2
Comm.
★</t>
  </si>
  <si>
    <t xml:space="preserve">Q3
Needs
★</t>
  </si>
  <si>
    <t xml:space="preserve">Q4
Transaction
Rate %</t>
  </si>
  <si>
    <t xml:space="preserve">Q5
Recom.
Rate %</t>
  </si>
  <si>
    <t xml:space="preserve">Q6
Overall
★</t>
  </si>
  <si>
    <t xml:space="preserve">Composite
Score</t>
  </si>
  <si>
    <t xml:space="preserve">Prev Qtr
Score</t>
  </si>
  <si>
    <t xml:space="preserve">Trend
▲▼</t>
  </si>
  <si>
    <t xml:space="preserve">Clearview Tax Group</t>
  </si>
  <si>
    <t xml:space="preserve">Accountant / Tax</t>
  </si>
  <si>
    <t xml:space="preserve">Diane Realty Group</t>
  </si>
  <si>
    <t xml:space="preserve">Realtor</t>
  </si>
  <si>
    <t xml:space="preserve">Sunrise Senior Living</t>
  </si>
  <si>
    <t xml:space="preserve">Pacific Estate Law</t>
  </si>
  <si>
    <t xml:space="preserve">Estate Lawyer</t>
  </si>
  <si>
    <t xml:space="preserve">COMPOSITE SCORE FORMULA REFERENCE</t>
  </si>
  <si>
    <t xml:space="preserve">Transaction Rate (30%)</t>
  </si>
  <si>
    <t xml:space="preserve">Q4 — % of users who answered Yes to "Did you complete a transaction?" · Input as a whole number (e.g. 82 = 82%)</t>
  </si>
  <si>
    <t xml:space="preserve">Satisfaction (25%)</t>
  </si>
  <si>
    <t xml:space="preserve">Average of Q2 (Communication) + Q3 (Needs Understood) + Q6 (Overall) · Converted from 1–5 stars to 0–100 scale</t>
  </si>
  <si>
    <t xml:space="preserve">Response Time (20%)</t>
  </si>
  <si>
    <t xml:space="preserve">Q1 (How quickly did partner respond) · Converted from 1–5 stars to 0–100 scale using (Stars−1)÷4×100</t>
  </si>
  <si>
    <t xml:space="preserve">Recommendation Rate (25%)</t>
  </si>
  <si>
    <t xml:space="preserve">Q5 — % of users who rated 4 or 5 stars on "Would you recommend?" · Input as whole number (e.g. 88 = 88%)</t>
  </si>
</sst>
</file>

<file path=xl/styles.xml><?xml version="1.0" encoding="utf-8"?>
<styleSheet xmlns="http://schemas.openxmlformats.org/spreadsheetml/2006/main">
  <numFmts count="8">
    <numFmt numFmtId="164" formatCode="General"/>
    <numFmt numFmtId="165" formatCode="#,##0;\(#,##0\);\-"/>
    <numFmt numFmtId="166" formatCode="0.0%;0.0%;\-"/>
    <numFmt numFmtId="167" formatCode="\$#,##0;&quot;($&quot;#,##0\);\-"/>
    <numFmt numFmtId="168" formatCode="0.0%"/>
    <numFmt numFmtId="169" formatCode="0.0"/>
    <numFmt numFmtId="170" formatCode="0"/>
    <numFmt numFmtId="171" formatCode="0\%"/>
  </numFmts>
  <fonts count="3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0000FF"/>
      <name val="Arial"/>
      <family val="0"/>
      <charset val="1"/>
    </font>
    <font>
      <b val="true"/>
      <sz val="10"/>
      <color rgb="FFFFFFFF"/>
      <name val="Arial"/>
      <family val="0"/>
      <charset val="1"/>
    </font>
    <font>
      <sz val="11"/>
      <color rgb="FF000000"/>
      <name val="Arial"/>
      <family val="0"/>
      <charset val="1"/>
    </font>
    <font>
      <sz val="11"/>
      <color rgb="FF0000FF"/>
      <name val="Arial"/>
      <family val="0"/>
      <charset val="1"/>
    </font>
    <font>
      <i val="true"/>
      <sz val="9"/>
      <color rgb="FF888888"/>
      <name val="Arial"/>
      <family val="0"/>
      <charset val="1"/>
    </font>
    <font>
      <b val="true"/>
      <sz val="11"/>
      <color rgb="FF000000"/>
      <name val="Arial"/>
      <family val="0"/>
      <charset val="1"/>
    </font>
    <font>
      <i val="true"/>
      <sz val="10"/>
      <color rgb="FF444444"/>
      <name val="Arial"/>
      <family val="0"/>
      <charset val="1"/>
    </font>
    <font>
      <sz val="10"/>
      <color rgb="FF1A5276"/>
      <name val="Arial"/>
      <family val="0"/>
      <charset val="1"/>
    </font>
    <font>
      <b val="true"/>
      <sz val="11"/>
      <color rgb="FF4A235A"/>
      <name val="Arial"/>
      <family val="0"/>
      <charset val="1"/>
    </font>
    <font>
      <b val="true"/>
      <sz val="16"/>
      <color rgb="FF3D1020"/>
      <name val="Arial"/>
      <family val="0"/>
      <charset val="1"/>
    </font>
    <font>
      <i val="true"/>
      <sz val="10"/>
      <color rgb="FF6B2040"/>
      <name val="Arial"/>
      <family val="0"/>
      <charset val="1"/>
    </font>
    <font>
      <b val="true"/>
      <sz val="11"/>
      <color rgb="FFFFFFFF"/>
      <name val="Arial"/>
      <family val="0"/>
      <charset val="1"/>
    </font>
    <font>
      <sz val="10"/>
      <color rgb="FF000000"/>
      <name val="Arial"/>
      <family val="0"/>
      <charset val="1"/>
    </font>
    <font>
      <b val="true"/>
      <sz val="10"/>
      <color rgb="FF0000FF"/>
      <name val="Arial"/>
      <family val="0"/>
      <charset val="1"/>
    </font>
    <font>
      <i val="true"/>
      <sz val="9"/>
      <color rgb="FF6B2040"/>
      <name val="Arial"/>
      <family val="0"/>
      <charset val="1"/>
    </font>
    <font>
      <sz val="11"/>
      <color rgb="FF555555"/>
      <name val="Arial"/>
      <family val="0"/>
      <charset val="1"/>
    </font>
    <font>
      <b val="true"/>
      <sz val="11"/>
      <color rgb="FF3D1020"/>
      <name val="Arial"/>
      <family val="0"/>
      <charset val="1"/>
    </font>
    <font>
      <b val="true"/>
      <sz val="10"/>
      <color rgb="FF3D1020"/>
      <name val="Arial"/>
      <family val="0"/>
      <charset val="1"/>
    </font>
    <font>
      <sz val="10"/>
      <color rgb="FF3D1020"/>
      <name val="Arial"/>
      <family val="0"/>
      <charset val="1"/>
    </font>
    <font>
      <b val="true"/>
      <sz val="9"/>
      <color rgb="FF000000"/>
      <name val="Arial"/>
      <family val="0"/>
      <charset val="1"/>
    </font>
    <font>
      <sz val="9"/>
      <color rgb="FF555555"/>
      <name val="Arial"/>
      <family val="0"/>
      <charset val="1"/>
    </font>
    <font>
      <b val="true"/>
      <sz val="9"/>
      <color rgb="FFFFFFFF"/>
      <name val="Arial"/>
      <family val="0"/>
      <charset val="1"/>
    </font>
    <font>
      <sz val="10"/>
      <color rgb="FF0000FF"/>
      <name val="Arial"/>
      <family val="0"/>
      <charset val="1"/>
    </font>
    <font>
      <b val="true"/>
      <sz val="10"/>
      <color rgb="FF000000"/>
      <name val="Arial"/>
      <family val="0"/>
      <charset val="1"/>
    </font>
    <font>
      <b val="true"/>
      <sz val="12"/>
      <color rgb="FF000000"/>
      <name val="Arial"/>
      <family val="0"/>
      <charset val="1"/>
    </font>
    <font>
      <b val="true"/>
      <sz val="10"/>
      <color rgb="FF6B2040"/>
      <name val="Arial"/>
      <family val="0"/>
      <charset val="1"/>
    </font>
  </fonts>
  <fills count="26">
    <fill>
      <patternFill patternType="none"/>
    </fill>
    <fill>
      <patternFill patternType="gray125"/>
    </fill>
    <fill>
      <patternFill patternType="solid">
        <fgColor rgb="FF1F3864"/>
        <bgColor rgb="FF2E4057"/>
      </patternFill>
    </fill>
    <fill>
      <patternFill patternType="solid">
        <fgColor rgb="FF2E4057"/>
        <bgColor rgb="FF1F3864"/>
      </patternFill>
    </fill>
    <fill>
      <patternFill patternType="solid">
        <fgColor rgb="FFFFFFFF"/>
        <bgColor rgb="FFFAFAFA"/>
      </patternFill>
    </fill>
    <fill>
      <patternFill patternType="solid">
        <fgColor rgb="FFEEF2FF"/>
        <bgColor rgb="FFF7F9FF"/>
      </patternFill>
    </fill>
    <fill>
      <patternFill patternType="solid">
        <fgColor rgb="FFF7F9FF"/>
        <bgColor rgb="FFFAFAFA"/>
      </patternFill>
    </fill>
    <fill>
      <patternFill patternType="solid">
        <fgColor rgb="FFFFD700"/>
        <bgColor rgb="FFFFFF00"/>
      </patternFill>
    </fill>
    <fill>
      <patternFill patternType="solid">
        <fgColor rgb="FFFFF176"/>
        <bgColor rgb="FFFFF3CD"/>
      </patternFill>
    </fill>
    <fill>
      <patternFill patternType="solid">
        <fgColor rgb="FFBDBDBD"/>
        <bgColor rgb="FFC0C0C0"/>
      </patternFill>
    </fill>
    <fill>
      <patternFill patternType="solid">
        <fgColor rgb="FFFFB74D"/>
        <bgColor rgb="FFFFD700"/>
      </patternFill>
    </fill>
    <fill>
      <patternFill patternType="solid">
        <fgColor rgb="FFEF5350"/>
        <bgColor rgb="FFCD7F32"/>
      </patternFill>
    </fill>
    <fill>
      <patternFill patternType="solid">
        <fgColor rgb="FFFFFF00"/>
        <bgColor rgb="FFFFD700"/>
      </patternFill>
    </fill>
    <fill>
      <patternFill patternType="solid">
        <fgColor rgb="FFEDE7F6"/>
        <bgColor rgb="FFE8E8E8"/>
      </patternFill>
    </fill>
    <fill>
      <patternFill patternType="solid">
        <fgColor rgb="FFE8F5E9"/>
        <bgColor rgb="FFEEF2FF"/>
      </patternFill>
    </fill>
    <fill>
      <patternFill patternType="solid">
        <fgColor rgb="FFFFF8E1"/>
        <bgColor rgb="FFFDF8F0"/>
      </patternFill>
    </fill>
    <fill>
      <patternFill patternType="solid">
        <fgColor rgb="FF3D1020"/>
        <bgColor rgb="FF4A235A"/>
      </patternFill>
    </fill>
    <fill>
      <patternFill patternType="solid">
        <fgColor rgb="FF6B2040"/>
        <bgColor rgb="FF4A235A"/>
      </patternFill>
    </fill>
    <fill>
      <patternFill patternType="solid">
        <fgColor rgb="FFFDF8F0"/>
        <bgColor rgb="FFFAFAFA"/>
      </patternFill>
    </fill>
    <fill>
      <patternFill patternType="solid">
        <fgColor rgb="FFFFF3CD"/>
        <bgColor rgb="FFFFF8E1"/>
      </patternFill>
    </fill>
    <fill>
      <patternFill patternType="solid">
        <fgColor rgb="FFC49A3C"/>
        <bgColor rgb="FFCD7F32"/>
      </patternFill>
    </fill>
    <fill>
      <patternFill patternType="solid">
        <fgColor rgb="FFE8E8E8"/>
        <bgColor rgb="FFEDE7F6"/>
      </patternFill>
    </fill>
    <fill>
      <patternFill patternType="solid">
        <fgColor rgb="FFC0C0C0"/>
        <bgColor rgb="FFBDBDBD"/>
      </patternFill>
    </fill>
    <fill>
      <patternFill patternType="solid">
        <fgColor rgb="FFCD7F32"/>
        <bgColor rgb="FFC49A3C"/>
      </patternFill>
    </fill>
    <fill>
      <patternFill patternType="solid">
        <fgColor rgb="FFCC0000"/>
        <bgColor rgb="FF800000"/>
      </patternFill>
    </fill>
    <fill>
      <patternFill patternType="solid">
        <fgColor rgb="FFFAFAFA"/>
        <bgColor rgb="FFF7F9FF"/>
      </patternFill>
    </fill>
  </fills>
  <borders count="4">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1F3864"/>
      </left>
      <right/>
      <top style="medium">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5" fontId="8" fillId="5" borderId="2"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6" fontId="8" fillId="5" borderId="2" xfId="0" applyFont="true" applyBorder="true" applyAlignment="true" applyProtection="false">
      <alignment horizontal="righ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6" fontId="7" fillId="6" borderId="2" xfId="0" applyFont="true" applyBorder="true" applyAlignment="true" applyProtection="false">
      <alignment horizontal="right" vertical="center" textRotation="0" wrapText="false" indent="0" shrinkToFit="false"/>
      <protection locked="true" hidden="false"/>
    </xf>
    <xf numFmtId="167" fontId="8" fillId="5" borderId="2"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10"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10" fillId="10"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10" fillId="11" borderId="2" xfId="0" applyFont="true" applyBorder="true" applyAlignment="true" applyProtection="false">
      <alignment horizontal="center" vertical="center" textRotation="0" wrapText="false" indent="0" shrinkToFit="false"/>
      <protection locked="true" hidden="false"/>
    </xf>
    <xf numFmtId="164" fontId="7" fillId="11" borderId="2" xfId="0" applyFont="true" applyBorder="true" applyAlignment="true" applyProtection="false">
      <alignment horizontal="center" vertical="center" textRotation="0" wrapText="fals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7" fillId="12" borderId="2"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8" fontId="7" fillId="12" borderId="2" xfId="0" applyFont="true" applyBorder="true" applyAlignment="true" applyProtection="false">
      <alignment horizontal="right" vertical="bottom" textRotation="0" wrapText="false" indent="0" shrinkToFit="false"/>
      <protection locked="true" hidden="false"/>
    </xf>
    <xf numFmtId="169" fontId="7" fillId="12" borderId="2" xfId="0" applyFont="true" applyBorder="true" applyAlignment="true" applyProtection="false">
      <alignment horizontal="right" vertical="bottom" textRotation="0" wrapText="false" indent="0" shrinkToFit="false"/>
      <protection locked="true" hidden="false"/>
    </xf>
    <xf numFmtId="170" fontId="7" fillId="12" borderId="2" xfId="0" applyFont="true" applyBorder="true" applyAlignment="true" applyProtection="false">
      <alignment horizontal="right" vertical="bottom" textRotation="0" wrapText="false" indent="0" shrinkToFit="false"/>
      <protection locked="true" hidden="false"/>
    </xf>
    <xf numFmtId="169" fontId="7" fillId="4" borderId="2" xfId="0" applyFont="true" applyBorder="true" applyAlignment="true" applyProtection="false">
      <alignment horizontal="right"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7" fillId="4" borderId="2" xfId="0" applyFont="true" applyBorder="true" applyAlignment="true" applyProtection="false">
      <alignment horizontal="right" vertical="center" textRotation="0" wrapText="false" indent="0" shrinkToFit="false"/>
      <protection locked="true" hidden="false"/>
    </xf>
    <xf numFmtId="167" fontId="7" fillId="4" borderId="2" xfId="0" applyFont="true" applyBorder="true" applyAlignment="true" applyProtection="false">
      <alignment horizontal="right"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5" fontId="7" fillId="6" borderId="2" xfId="0" applyFont="true" applyBorder="true" applyAlignment="true" applyProtection="false">
      <alignment horizontal="right" vertical="center" textRotation="0" wrapText="false" indent="0" shrinkToFit="false"/>
      <protection locked="true" hidden="false"/>
    </xf>
    <xf numFmtId="167" fontId="7" fillId="6" borderId="2" xfId="0" applyFont="true" applyBorder="true" applyAlignment="true" applyProtection="false">
      <alignment horizontal="right" vertical="center" textRotation="0" wrapText="false" indent="0" shrinkToFit="false"/>
      <protection locked="true" hidden="false"/>
    </xf>
    <xf numFmtId="164" fontId="10" fillId="13" borderId="2" xfId="0" applyFont="true" applyBorder="true" applyAlignment="true" applyProtection="false">
      <alignment horizontal="left" vertical="center" textRotation="0" wrapText="true" indent="0" shrinkToFit="false"/>
      <protection locked="true" hidden="false"/>
    </xf>
    <xf numFmtId="167" fontId="7" fillId="13" borderId="2" xfId="0" applyFont="true" applyBorder="true" applyAlignment="true" applyProtection="false">
      <alignment horizontal="right" vertical="center" textRotation="0" wrapText="false" indent="0" shrinkToFit="false"/>
      <protection locked="true" hidden="false"/>
    </xf>
    <xf numFmtId="164" fontId="7" fillId="13" borderId="2" xfId="0" applyFont="true" applyBorder="true" applyAlignment="true" applyProtection="false">
      <alignment horizontal="left" vertical="center" textRotation="0" wrapText="true" indent="0" shrinkToFit="false"/>
      <protection locked="true" hidden="false"/>
    </xf>
    <xf numFmtId="166" fontId="7" fillId="13" borderId="2" xfId="0" applyFont="true" applyBorder="true" applyAlignment="true" applyProtection="false">
      <alignment horizontal="right" vertical="center" textRotation="0" wrapText="false" indent="0" shrinkToFit="false"/>
      <protection locked="true" hidden="false"/>
    </xf>
    <xf numFmtId="164" fontId="12" fillId="14" borderId="1" xfId="0" applyFont="true" applyBorder="true" applyAlignment="true" applyProtection="false">
      <alignment horizontal="left" vertical="center" textRotation="0" wrapText="true" indent="0" shrinkToFit="false"/>
      <protection locked="true" hidden="false"/>
    </xf>
    <xf numFmtId="164" fontId="10" fillId="14" borderId="2" xfId="0" applyFont="true" applyBorder="true" applyAlignment="true" applyProtection="false">
      <alignment horizontal="left" vertical="center" textRotation="0" wrapText="true" indent="0" shrinkToFit="false"/>
      <protection locked="true" hidden="false"/>
    </xf>
    <xf numFmtId="167" fontId="7" fillId="14" borderId="2" xfId="0" applyFont="true" applyBorder="true" applyAlignment="true" applyProtection="false">
      <alignment horizontal="right" vertical="center" textRotation="0" wrapText="false" indent="0" shrinkToFit="false"/>
      <protection locked="true" hidden="false"/>
    </xf>
    <xf numFmtId="166" fontId="7" fillId="14" borderId="2" xfId="0" applyFont="true" applyBorder="true" applyAlignment="true" applyProtection="false">
      <alignment horizontal="right" vertical="center" textRotation="0" wrapText="false" indent="0" shrinkToFit="false"/>
      <protection locked="true" hidden="false"/>
    </xf>
    <xf numFmtId="166" fontId="7" fillId="4" borderId="2" xfId="0" applyFont="true" applyBorder="true" applyAlignment="true" applyProtection="false">
      <alignment horizontal="right" vertical="center" textRotation="0" wrapText="false" indent="0" shrinkToFit="false"/>
      <protection locked="true" hidden="false"/>
    </xf>
    <xf numFmtId="164" fontId="13" fillId="15" borderId="3"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16" borderId="0" xfId="0" applyFont="true" applyBorder="false" applyAlignment="false" applyProtection="false">
      <alignment horizontal="general" vertical="bottom" textRotation="0" wrapText="false" indent="0" shrinkToFit="false"/>
      <protection locked="true" hidden="false"/>
    </xf>
    <xf numFmtId="164" fontId="6" fillId="17" borderId="2" xfId="0" applyFont="true" applyBorder="true" applyAlignment="true" applyProtection="false">
      <alignment horizontal="center" vertical="center" textRotation="0" wrapText="true" indent="0" shrinkToFit="false"/>
      <protection locked="true" hidden="false"/>
    </xf>
    <xf numFmtId="164" fontId="17" fillId="18" borderId="2" xfId="0" applyFont="true" applyBorder="true" applyAlignment="true" applyProtection="false">
      <alignment horizontal="center" vertical="center" textRotation="0" wrapText="false" indent="0" shrinkToFit="false"/>
      <protection locked="true" hidden="false"/>
    </xf>
    <xf numFmtId="164" fontId="17" fillId="18" borderId="2" xfId="0" applyFont="true" applyBorder="true" applyAlignment="true" applyProtection="false">
      <alignment horizontal="general" vertical="top" textRotation="0" wrapText="true" indent="0" shrinkToFit="false"/>
      <protection locked="true" hidden="false"/>
    </xf>
    <xf numFmtId="164" fontId="18" fillId="18"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general" vertical="top" textRotation="0" wrapText="true" indent="0" shrinkToFit="false"/>
      <protection locked="true" hidden="false"/>
    </xf>
    <xf numFmtId="164" fontId="18" fillId="4" borderId="2"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17" borderId="2" xfId="0" applyFont="true" applyBorder="true" applyAlignment="true" applyProtection="false">
      <alignment horizontal="center" vertical="center" textRotation="0" wrapText="false" indent="0" shrinkToFit="false"/>
      <protection locked="true" hidden="false"/>
    </xf>
    <xf numFmtId="164" fontId="20" fillId="4" borderId="2" xfId="0" applyFont="true" applyBorder="true" applyAlignment="true" applyProtection="false">
      <alignment horizontal="center" vertical="center" textRotation="0" wrapText="false" indent="0" shrinkToFit="false"/>
      <protection locked="true" hidden="false"/>
    </xf>
    <xf numFmtId="164" fontId="21" fillId="19" borderId="2" xfId="0" applyFont="true" applyBorder="true" applyAlignment="true" applyProtection="false">
      <alignment horizontal="center" vertical="center" textRotation="0" wrapText="false" indent="0" shrinkToFit="false"/>
      <protection locked="true" hidden="false"/>
    </xf>
    <xf numFmtId="164" fontId="21" fillId="20" borderId="0" xfId="0" applyFont="true" applyBorder="false" applyAlignment="false" applyProtection="false">
      <alignment horizontal="general" vertical="bottom" textRotation="0" wrapText="false" indent="0" shrinkToFit="false"/>
      <protection locked="true" hidden="false"/>
    </xf>
    <xf numFmtId="164" fontId="22" fillId="18" borderId="2" xfId="0" applyFont="true" applyBorder="true" applyAlignment="false" applyProtection="false">
      <alignment horizontal="general" vertical="bottom" textRotation="0" wrapText="false" indent="0" shrinkToFit="false"/>
      <protection locked="true" hidden="false"/>
    </xf>
    <xf numFmtId="164" fontId="17" fillId="4" borderId="2" xfId="0" applyFont="true" applyBorder="true" applyAlignment="false" applyProtection="false">
      <alignment horizontal="general" vertical="bottom" textRotation="0" wrapText="false" indent="0" shrinkToFit="false"/>
      <protection locked="true" hidden="false"/>
    </xf>
    <xf numFmtId="164" fontId="23" fillId="18" borderId="2" xfId="0" applyFont="true" applyBorder="true" applyAlignment="false" applyProtection="false">
      <alignment horizontal="general" vertical="bottom" textRotation="0" wrapText="false" indent="0" shrinkToFit="false"/>
      <protection locked="true" hidden="false"/>
    </xf>
    <xf numFmtId="164" fontId="21" fillId="19" borderId="2"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4" fillId="21"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false" applyProtection="false">
      <alignment horizontal="general" vertical="bottom" textRotation="0" wrapText="false" indent="0" shrinkToFit="false"/>
      <protection locked="true" hidden="false"/>
    </xf>
    <xf numFmtId="164" fontId="24" fillId="7" borderId="2" xfId="0" applyFont="true" applyBorder="true" applyAlignment="true" applyProtection="false">
      <alignment horizontal="center" vertical="center" textRotation="0" wrapText="false" indent="0" shrinkToFit="false"/>
      <protection locked="true" hidden="false"/>
    </xf>
    <xf numFmtId="164" fontId="24" fillId="22" borderId="2" xfId="0" applyFont="true" applyBorder="true" applyAlignment="true" applyProtection="false">
      <alignment horizontal="center" vertical="center" textRotation="0" wrapText="false" indent="0" shrinkToFit="false"/>
      <protection locked="true" hidden="false"/>
    </xf>
    <xf numFmtId="164" fontId="26" fillId="23" borderId="2" xfId="0" applyFont="true" applyBorder="true" applyAlignment="true" applyProtection="false">
      <alignment horizontal="center" vertical="center" textRotation="0" wrapText="false" indent="0" shrinkToFit="false"/>
      <protection locked="true" hidden="false"/>
    </xf>
    <xf numFmtId="164" fontId="26" fillId="24" borderId="2" xfId="0" applyFont="true" applyBorder="true" applyAlignment="true" applyProtection="false">
      <alignment horizontal="center" vertical="center" textRotation="0" wrapText="false" indent="0" shrinkToFit="false"/>
      <protection locked="true" hidden="false"/>
    </xf>
    <xf numFmtId="164" fontId="26" fillId="17" borderId="2" xfId="0" applyFont="true" applyBorder="true" applyAlignment="true" applyProtection="false">
      <alignment horizontal="center" vertical="center" textRotation="0" wrapText="true" indent="0" shrinkToFit="false"/>
      <protection locked="true" hidden="false"/>
    </xf>
    <xf numFmtId="164" fontId="17" fillId="18" borderId="2" xfId="0" applyFont="true" applyBorder="true" applyAlignment="true" applyProtection="false">
      <alignment horizontal="left" vertical="center" textRotation="0" wrapText="false" indent="1" shrinkToFit="false"/>
      <protection locked="true" hidden="false"/>
    </xf>
    <xf numFmtId="164" fontId="27" fillId="18" borderId="2" xfId="0" applyFont="true" applyBorder="true" applyAlignment="true" applyProtection="false">
      <alignment horizontal="center" vertical="center" textRotation="0" wrapText="false" indent="0" shrinkToFit="false"/>
      <protection locked="true" hidden="false"/>
    </xf>
    <xf numFmtId="171" fontId="27" fillId="18" borderId="2" xfId="0" applyFont="true" applyBorder="true" applyAlignment="true" applyProtection="false">
      <alignment horizontal="center" vertical="center" textRotation="0" wrapText="false" indent="0" shrinkToFit="false"/>
      <protection locked="true" hidden="false"/>
    </xf>
    <xf numFmtId="164" fontId="28" fillId="18" borderId="2" xfId="0" applyFont="true" applyBorder="true" applyAlignment="true" applyProtection="false">
      <alignment horizontal="center" vertical="center" textRotation="0" wrapText="false" indent="0" shrinkToFit="false"/>
      <protection locked="true" hidden="false"/>
    </xf>
    <xf numFmtId="164" fontId="29" fillId="18"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left" vertical="center" textRotation="0" wrapText="false" indent="1" shrinkToFit="false"/>
      <protection locked="true" hidden="false"/>
    </xf>
    <xf numFmtId="164" fontId="27" fillId="4" borderId="2" xfId="0" applyFont="true" applyBorder="true" applyAlignment="true" applyProtection="false">
      <alignment horizontal="center" vertical="center" textRotation="0" wrapText="false" indent="0" shrinkToFit="false"/>
      <protection locked="true" hidden="false"/>
    </xf>
    <xf numFmtId="171" fontId="27" fillId="4" borderId="2" xfId="0" applyFont="true" applyBorder="true" applyAlignment="true" applyProtection="false">
      <alignment horizontal="center" vertical="center" textRotation="0" wrapText="false" indent="0" shrinkToFit="false"/>
      <protection locked="true" hidden="false"/>
    </xf>
    <xf numFmtId="164" fontId="28" fillId="4" borderId="2" xfId="0" applyFont="true" applyBorder="true" applyAlignment="true" applyProtection="false">
      <alignment horizontal="center" vertical="center" textRotation="0" wrapText="false" indent="0" shrinkToFit="false"/>
      <protection locked="true" hidden="false"/>
    </xf>
    <xf numFmtId="164" fontId="29" fillId="4" borderId="2" xfId="0" applyFont="true" applyBorder="true" applyAlignment="true" applyProtection="false">
      <alignment horizontal="center" vertical="center" textRotation="0" wrapText="false" indent="0" shrinkToFit="false"/>
      <protection locked="true" hidden="false"/>
    </xf>
    <xf numFmtId="164" fontId="0" fillId="25" borderId="2" xfId="0" applyFont="false" applyBorder="true" applyAlignment="true" applyProtection="false">
      <alignment horizontal="center" vertical="center" textRotation="0" wrapText="false" indent="0" shrinkToFit="false"/>
      <protection locked="true" hidden="false"/>
    </xf>
    <xf numFmtId="171" fontId="0" fillId="25" borderId="2" xfId="0" applyFont="false" applyBorder="true" applyAlignment="true" applyProtection="false">
      <alignment horizontal="center" vertical="center" textRotation="0" wrapText="false" indent="0" shrinkToFit="false"/>
      <protection locked="true" hidden="false"/>
    </xf>
    <xf numFmtId="164" fontId="22" fillId="25" borderId="2" xfId="0" applyFont="true" applyBorder="true" applyAlignment="true" applyProtection="false">
      <alignment horizontal="center" vertical="center" textRotation="0" wrapText="false" indent="0" shrinkToFit="false"/>
      <protection locked="true" hidden="false"/>
    </xf>
    <xf numFmtId="164" fontId="29" fillId="25" borderId="2"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30" fillId="18" borderId="2" xfId="0" applyFont="true" applyBorder="true" applyAlignment="false" applyProtection="false">
      <alignment horizontal="general" vertical="bottom" textRotation="0" wrapText="false" indent="0" shrinkToFit="false"/>
      <protection locked="true" hidden="false"/>
    </xf>
    <xf numFmtId="164" fontId="17" fillId="4" borderId="2"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b val="1"/>
        <color rgb="FF000000"/>
      </font>
      <fill>
        <patternFill>
          <bgColor rgb="FFE8E8E8"/>
        </patternFill>
      </fill>
    </dxf>
    <dxf>
      <font>
        <b val="1"/>
        <color rgb="FF000000"/>
      </font>
      <fill>
        <patternFill>
          <bgColor rgb="FFFFD700"/>
        </patternFill>
      </fill>
    </dxf>
    <dxf>
      <font>
        <b val="1"/>
        <color rgb="FF000000"/>
      </font>
      <fill>
        <patternFill>
          <bgColor rgb="FFC0C0C0"/>
        </patternFill>
      </fill>
    </dxf>
    <dxf>
      <font>
        <b val="1"/>
        <color rgb="FFFFFFFF"/>
      </font>
      <fill>
        <patternFill>
          <bgColor rgb="FFCD7F32"/>
        </patternFill>
      </fill>
    </dxf>
    <dxf>
      <font>
        <b val="1"/>
        <color rgb="FFFFFFFF"/>
      </font>
      <fill>
        <patternFill>
          <bgColor rgb="FFCC0000"/>
        </patternFill>
      </fill>
    </dxf>
  </dxfs>
  <colors>
    <indexedColors>
      <rgbColor rgb="FF000000"/>
      <rgbColor rgb="FFFFFFFF"/>
      <rgbColor rgb="FFCC0000"/>
      <rgbColor rgb="FF00FF00"/>
      <rgbColor rgb="FF0000FF"/>
      <rgbColor rgb="FFFFFF00"/>
      <rgbColor rgb="FFFF00FF"/>
      <rgbColor rgb="FF00FFFF"/>
      <rgbColor rgb="FF3D1020"/>
      <rgbColor rgb="FF008000"/>
      <rgbColor rgb="FF000080"/>
      <rgbColor rgb="FF808000"/>
      <rgbColor rgb="FF800080"/>
      <rgbColor rgb="FF008080"/>
      <rgbColor rgb="FFC0C0C0"/>
      <rgbColor rgb="FF888888"/>
      <rgbColor rgb="FFFDF8F0"/>
      <rgbColor rgb="FF993366"/>
      <rgbColor rgb="FFFFF8E1"/>
      <rgbColor rgb="FFE8F5E9"/>
      <rgbColor rgb="FF6B2040"/>
      <rgbColor rgb="FFCD7F32"/>
      <rgbColor rgb="FF1A5276"/>
      <rgbColor rgb="FFCCCCCC"/>
      <rgbColor rgb="FF000080"/>
      <rgbColor rgb="FFFF00FF"/>
      <rgbColor rgb="FFFFF3CD"/>
      <rgbColor rgb="FF00FFFF"/>
      <rgbColor rgb="FF800080"/>
      <rgbColor rgb="FF800000"/>
      <rgbColor rgb="FF008080"/>
      <rgbColor rgb="FF0000FF"/>
      <rgbColor rgb="FF00CCFF"/>
      <rgbColor rgb="FFEEF2FF"/>
      <rgbColor rgb="FFE8E8E8"/>
      <rgbColor rgb="FFFFF176"/>
      <rgbColor rgb="FFBDBDBD"/>
      <rgbColor rgb="FFEDE7F6"/>
      <rgbColor rgb="FFF7F9FF"/>
      <rgbColor rgb="FFFFB74D"/>
      <rgbColor rgb="FF3366FF"/>
      <rgbColor rgb="FF33CCCC"/>
      <rgbColor rgb="FF99CC00"/>
      <rgbColor rgb="FFFFD700"/>
      <rgbColor rgb="FFC49A3C"/>
      <rgbColor rgb="FFEF5350"/>
      <rgbColor rgb="FF555555"/>
      <rgbColor rgb="FFFAFAFA"/>
      <rgbColor rgb="FF1F3864"/>
      <rgbColor rgb="FF339966"/>
      <rgbColor rgb="FF003300"/>
      <rgbColor rgb="FF444444"/>
      <rgbColor rgb="FF993300"/>
      <rgbColor rgb="FF993366"/>
      <rgbColor rgb="FF4A235A"/>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56"/>
  </cols>
  <sheetData>
    <row r="1" customFormat="false" ht="27.75" hidden="false" customHeight="true" outlineLevel="0" collapsed="false">
      <c r="A1" s="2" t="s">
        <v>0</v>
      </c>
      <c r="B1" s="2"/>
      <c r="C1" s="2"/>
    </row>
    <row r="2" customFormat="false" ht="15" hidden="false" customHeight="true" outlineLevel="0" collapsed="false">
      <c r="A2" s="3" t="s">
        <v>1</v>
      </c>
      <c r="B2" s="3"/>
      <c r="C2" s="3"/>
    </row>
    <row r="3" customFormat="false" ht="6" hidden="false" customHeight="true" outlineLevel="0" collapsed="false"/>
    <row r="4" customFormat="false" ht="15" hidden="false" customHeight="true" outlineLevel="0" collapsed="false">
      <c r="A4" s="4" t="s">
        <v>2</v>
      </c>
      <c r="B4" s="4"/>
      <c r="C4" s="4"/>
    </row>
    <row r="5" customFormat="false" ht="19.5" hidden="false" customHeight="true" outlineLevel="0" collapsed="false">
      <c r="A5" s="5" t="s">
        <v>3</v>
      </c>
      <c r="B5" s="5" t="s">
        <v>4</v>
      </c>
      <c r="C5" s="5" t="s">
        <v>5</v>
      </c>
    </row>
    <row r="6" customFormat="false" ht="15" hidden="false" customHeight="true" outlineLevel="0" collapsed="false">
      <c r="A6" s="6" t="s">
        <v>6</v>
      </c>
      <c r="B6" s="7" t="n">
        <v>800</v>
      </c>
      <c r="C6" s="8" t="s">
        <v>7</v>
      </c>
    </row>
    <row r="7" customFormat="false" ht="15" hidden="false" customHeight="true" outlineLevel="0" collapsed="false">
      <c r="A7" s="6" t="s">
        <v>8</v>
      </c>
      <c r="B7" s="7" t="n">
        <v>2500</v>
      </c>
      <c r="C7" s="8" t="s">
        <v>9</v>
      </c>
    </row>
    <row r="8" customFormat="false" ht="15" hidden="false" customHeight="true" outlineLevel="0" collapsed="false">
      <c r="A8" s="6" t="s">
        <v>10</v>
      </c>
      <c r="B8" s="7" t="n">
        <v>9500</v>
      </c>
      <c r="C8" s="8" t="s">
        <v>11</v>
      </c>
    </row>
    <row r="9" customFormat="false" ht="15" hidden="false" customHeight="true" outlineLevel="0" collapsed="false">
      <c r="A9" s="6" t="s">
        <v>12</v>
      </c>
      <c r="B9" s="9" t="n">
        <v>0.25</v>
      </c>
      <c r="C9" s="8" t="s">
        <v>13</v>
      </c>
    </row>
    <row r="11" customFormat="false" ht="15" hidden="false" customHeight="true" outlineLevel="0" collapsed="false">
      <c r="A11" s="4" t="s">
        <v>14</v>
      </c>
      <c r="B11" s="4"/>
      <c r="C11" s="4"/>
    </row>
    <row r="12" customFormat="false" ht="15" hidden="false" customHeight="true" outlineLevel="0" collapsed="false">
      <c r="A12" s="5" t="s">
        <v>15</v>
      </c>
      <c r="B12" s="5" t="s">
        <v>16</v>
      </c>
      <c r="C12" s="5" t="s">
        <v>5</v>
      </c>
    </row>
    <row r="13" customFormat="false" ht="15" hidden="false" customHeight="true" outlineLevel="0" collapsed="false">
      <c r="A13" s="6" t="s">
        <v>17</v>
      </c>
      <c r="B13" s="9" t="n">
        <v>0.3</v>
      </c>
      <c r="C13" s="8" t="s">
        <v>18</v>
      </c>
    </row>
    <row r="14" customFormat="false" ht="15" hidden="false" customHeight="true" outlineLevel="0" collapsed="false">
      <c r="A14" s="10" t="s">
        <v>19</v>
      </c>
      <c r="B14" s="9" t="n">
        <v>0.25</v>
      </c>
      <c r="C14" s="8" t="s">
        <v>20</v>
      </c>
    </row>
    <row r="15" customFormat="false" ht="15" hidden="false" customHeight="true" outlineLevel="0" collapsed="false">
      <c r="A15" s="6" t="s">
        <v>21</v>
      </c>
      <c r="B15" s="9" t="n">
        <v>0.25</v>
      </c>
      <c r="C15" s="8" t="s">
        <v>22</v>
      </c>
    </row>
    <row r="16" customFormat="false" ht="15" hidden="false" customHeight="true" outlineLevel="0" collapsed="false">
      <c r="A16" s="10" t="s">
        <v>23</v>
      </c>
      <c r="B16" s="9" t="n">
        <v>0.1</v>
      </c>
      <c r="C16" s="8" t="s">
        <v>24</v>
      </c>
    </row>
    <row r="17" customFormat="false" ht="15" hidden="false" customHeight="true" outlineLevel="0" collapsed="false">
      <c r="A17" s="6" t="s">
        <v>25</v>
      </c>
      <c r="B17" s="9" t="n">
        <v>0.1</v>
      </c>
      <c r="C17" s="8" t="s">
        <v>26</v>
      </c>
    </row>
    <row r="18" customFormat="false" ht="15" hidden="false" customHeight="true" outlineLevel="0" collapsed="false">
      <c r="A18" s="11" t="s">
        <v>27</v>
      </c>
      <c r="B18" s="12" t="n">
        <f aca="false">SUM(B13:B17)</f>
        <v>1</v>
      </c>
      <c r="C18" s="8" t="s">
        <v>28</v>
      </c>
    </row>
    <row r="20" customFormat="false" ht="15" hidden="false" customHeight="true" outlineLevel="0" collapsed="false">
      <c r="A20" s="4" t="s">
        <v>29</v>
      </c>
      <c r="B20" s="4"/>
      <c r="C20" s="4"/>
    </row>
    <row r="21" customFormat="false" ht="15" hidden="false" customHeight="true" outlineLevel="0" collapsed="false">
      <c r="A21" s="5" t="s">
        <v>15</v>
      </c>
      <c r="B21" s="5" t="s">
        <v>30</v>
      </c>
      <c r="C21" s="5" t="s">
        <v>5</v>
      </c>
    </row>
    <row r="22" customFormat="false" ht="15" hidden="false" customHeight="true" outlineLevel="0" collapsed="false">
      <c r="A22" s="10" t="s">
        <v>31</v>
      </c>
      <c r="B22" s="9" t="n">
        <v>0.4</v>
      </c>
      <c r="C22" s="8" t="s">
        <v>32</v>
      </c>
    </row>
    <row r="23" customFormat="false" ht="15" hidden="false" customHeight="true" outlineLevel="0" collapsed="false">
      <c r="A23" s="6" t="s">
        <v>19</v>
      </c>
      <c r="B23" s="9" t="n">
        <v>0.3</v>
      </c>
      <c r="C23" s="8" t="s">
        <v>33</v>
      </c>
    </row>
    <row r="24" customFormat="false" ht="15" hidden="false" customHeight="true" outlineLevel="0" collapsed="false">
      <c r="A24" s="10" t="s">
        <v>21</v>
      </c>
      <c r="B24" s="9" t="n">
        <v>0.35</v>
      </c>
      <c r="C24" s="8" t="s">
        <v>34</v>
      </c>
    </row>
    <row r="25" customFormat="false" ht="15" hidden="false" customHeight="true" outlineLevel="0" collapsed="false">
      <c r="A25" s="6" t="s">
        <v>23</v>
      </c>
      <c r="B25" s="9" t="n">
        <v>0.25</v>
      </c>
      <c r="C25" s="8" t="s">
        <v>35</v>
      </c>
    </row>
    <row r="26" customFormat="false" ht="15" hidden="false" customHeight="true" outlineLevel="0" collapsed="false">
      <c r="A26" s="10" t="s">
        <v>25</v>
      </c>
      <c r="B26" s="9" t="n">
        <v>0.35</v>
      </c>
      <c r="C26" s="8" t="s">
        <v>36</v>
      </c>
    </row>
    <row r="28" customFormat="false" ht="15" hidden="false" customHeight="true" outlineLevel="0" collapsed="false">
      <c r="A28" s="4" t="s">
        <v>37</v>
      </c>
      <c r="B28" s="4"/>
      <c r="C28" s="4"/>
    </row>
    <row r="29" customFormat="false" ht="26.25" hidden="false" customHeight="true" outlineLevel="0" collapsed="false">
      <c r="A29" s="6" t="s">
        <v>38</v>
      </c>
      <c r="B29" s="9" t="n">
        <v>0.08</v>
      </c>
      <c r="C29" s="8" t="s">
        <v>39</v>
      </c>
    </row>
    <row r="31" customFormat="false" ht="15" hidden="false" customHeight="true" outlineLevel="0" collapsed="false">
      <c r="A31" s="4" t="s">
        <v>40</v>
      </c>
      <c r="B31" s="4"/>
      <c r="C31" s="4"/>
    </row>
    <row r="32" customFormat="false" ht="15" hidden="false" customHeight="true" outlineLevel="0" collapsed="false">
      <c r="A32" s="5" t="s">
        <v>15</v>
      </c>
      <c r="B32" s="5" t="s">
        <v>41</v>
      </c>
      <c r="C32" s="5" t="s">
        <v>42</v>
      </c>
    </row>
    <row r="33" customFormat="false" ht="15" hidden="false" customHeight="true" outlineLevel="0" collapsed="false">
      <c r="A33" s="6" t="s">
        <v>31</v>
      </c>
      <c r="B33" s="13" t="n">
        <v>600</v>
      </c>
      <c r="C33" s="8" t="s">
        <v>43</v>
      </c>
    </row>
    <row r="34" customFormat="false" ht="15" hidden="false" customHeight="true" outlineLevel="0" collapsed="false">
      <c r="A34" s="10" t="s">
        <v>19</v>
      </c>
      <c r="B34" s="13" t="n">
        <v>500</v>
      </c>
      <c r="C34" s="8" t="s">
        <v>44</v>
      </c>
    </row>
    <row r="35" customFormat="false" ht="15" hidden="false" customHeight="true" outlineLevel="0" collapsed="false">
      <c r="A35" s="6" t="s">
        <v>21</v>
      </c>
      <c r="B35" s="13" t="n">
        <v>800</v>
      </c>
      <c r="C35" s="8" t="s">
        <v>45</v>
      </c>
    </row>
    <row r="36" customFormat="false" ht="15" hidden="false" customHeight="true" outlineLevel="0" collapsed="false">
      <c r="A36" s="10" t="s">
        <v>23</v>
      </c>
      <c r="B36" s="13" t="n">
        <v>400</v>
      </c>
      <c r="C36" s="8" t="s">
        <v>46</v>
      </c>
    </row>
    <row r="37" customFormat="false" ht="15" hidden="false" customHeight="true" outlineLevel="0" collapsed="false">
      <c r="A37" s="6" t="s">
        <v>25</v>
      </c>
      <c r="B37" s="13" t="n">
        <v>300</v>
      </c>
      <c r="C37" s="8" t="s">
        <v>47</v>
      </c>
    </row>
    <row r="39" customFormat="false" ht="15" hidden="false" customHeight="true" outlineLevel="0" collapsed="false">
      <c r="A39" s="4" t="s">
        <v>48</v>
      </c>
      <c r="B39" s="4"/>
      <c r="C39" s="4"/>
    </row>
    <row r="40" customFormat="false" ht="15" hidden="false" customHeight="true" outlineLevel="0" collapsed="false">
      <c r="A40" s="5" t="s">
        <v>15</v>
      </c>
      <c r="B40" s="5" t="s">
        <v>49</v>
      </c>
      <c r="C40" s="5" t="s">
        <v>42</v>
      </c>
    </row>
    <row r="41" customFormat="false" ht="15" hidden="false" customHeight="true" outlineLevel="0" collapsed="false">
      <c r="A41" s="6" t="s">
        <v>31</v>
      </c>
      <c r="B41" s="9" t="n">
        <v>0.15</v>
      </c>
      <c r="C41" s="8" t="s">
        <v>50</v>
      </c>
    </row>
    <row r="42" customFormat="false" ht="15" hidden="false" customHeight="true" outlineLevel="0" collapsed="false">
      <c r="A42" s="10" t="s">
        <v>19</v>
      </c>
      <c r="B42" s="9" t="n">
        <v>0.12</v>
      </c>
      <c r="C42" s="8" t="s">
        <v>51</v>
      </c>
    </row>
    <row r="43" customFormat="false" ht="15" hidden="false" customHeight="true" outlineLevel="0" collapsed="false">
      <c r="A43" s="6" t="s">
        <v>21</v>
      </c>
      <c r="B43" s="9" t="n">
        <v>0.2</v>
      </c>
      <c r="C43" s="8" t="s">
        <v>52</v>
      </c>
    </row>
    <row r="44" customFormat="false" ht="15" hidden="false" customHeight="true" outlineLevel="0" collapsed="false">
      <c r="A44" s="10" t="s">
        <v>23</v>
      </c>
      <c r="B44" s="9" t="n">
        <v>0.15</v>
      </c>
      <c r="C44" s="8" t="s">
        <v>53</v>
      </c>
    </row>
    <row r="45" customFormat="false" ht="15" hidden="false" customHeight="true" outlineLevel="0" collapsed="false">
      <c r="A45" s="6" t="s">
        <v>25</v>
      </c>
      <c r="B45" s="9" t="n">
        <v>0.15</v>
      </c>
      <c r="C45" s="8" t="s">
        <v>54</v>
      </c>
    </row>
    <row r="47" customFormat="false" ht="15" hidden="false" customHeight="true" outlineLevel="0" collapsed="false">
      <c r="A47" s="4" t="s">
        <v>55</v>
      </c>
      <c r="B47" s="4"/>
      <c r="C47" s="4"/>
    </row>
    <row r="48" customFormat="false" ht="23.25" hidden="false" customHeight="true" outlineLevel="0" collapsed="false">
      <c r="A48" s="5" t="s">
        <v>15</v>
      </c>
      <c r="B48" s="5" t="s">
        <v>56</v>
      </c>
      <c r="C48" s="5" t="s">
        <v>5</v>
      </c>
    </row>
    <row r="49" customFormat="false" ht="15" hidden="false" customHeight="true" outlineLevel="0" collapsed="false">
      <c r="A49" s="6" t="s">
        <v>57</v>
      </c>
      <c r="B49" s="13" t="n">
        <v>3000</v>
      </c>
      <c r="C49" s="8" t="s">
        <v>58</v>
      </c>
    </row>
    <row r="50" customFormat="false" ht="15" hidden="false" customHeight="true" outlineLevel="0" collapsed="false">
      <c r="A50" s="10" t="s">
        <v>59</v>
      </c>
      <c r="B50" s="13" t="n">
        <v>3500</v>
      </c>
      <c r="C50" s="8" t="s">
        <v>60</v>
      </c>
    </row>
    <row r="51" customFormat="false" ht="15" hidden="false" customHeight="true" outlineLevel="0" collapsed="false">
      <c r="A51" s="6" t="s">
        <v>61</v>
      </c>
      <c r="B51" s="13" t="n">
        <v>17500</v>
      </c>
      <c r="C51" s="8" t="s">
        <v>62</v>
      </c>
    </row>
    <row r="52" customFormat="false" ht="15" hidden="false" customHeight="true" outlineLevel="0" collapsed="false">
      <c r="A52" s="10" t="s">
        <v>63</v>
      </c>
      <c r="B52" s="13" t="n">
        <v>4500</v>
      </c>
      <c r="C52" s="8" t="s">
        <v>64</v>
      </c>
    </row>
    <row r="53" customFormat="false" ht="15" hidden="false" customHeight="true" outlineLevel="0" collapsed="false">
      <c r="A53" s="6" t="s">
        <v>65</v>
      </c>
      <c r="B53" s="13" t="n">
        <v>1500</v>
      </c>
      <c r="C53" s="8" t="s">
        <v>66</v>
      </c>
    </row>
  </sheetData>
  <mergeCells count="9">
    <mergeCell ref="A1:C1"/>
    <mergeCell ref="A2:C2"/>
    <mergeCell ref="A4:C4"/>
    <mergeCell ref="A11:C11"/>
    <mergeCell ref="A20:C20"/>
    <mergeCell ref="A28:C28"/>
    <mergeCell ref="A31:C31"/>
    <mergeCell ref="A39:C39"/>
    <mergeCell ref="A47:C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3" min="3" style="1" width="14"/>
    <col collapsed="false" customWidth="true" hidden="false" outlineLevel="0" max="4" min="4" style="1" width="28"/>
    <col collapsed="false" customWidth="true" hidden="false" outlineLevel="0" max="5" min="5" style="1" width="44"/>
  </cols>
  <sheetData>
    <row r="1" customFormat="false" ht="27.75" hidden="false" customHeight="true" outlineLevel="0" collapsed="false">
      <c r="A1" s="2" t="s">
        <v>67</v>
      </c>
      <c r="B1" s="2"/>
      <c r="C1" s="2"/>
      <c r="D1" s="2"/>
      <c r="E1" s="2"/>
    </row>
    <row r="2" customFormat="false" ht="15" hidden="false" customHeight="true" outlineLevel="0" collapsed="false">
      <c r="A2" s="14" t="s">
        <v>68</v>
      </c>
      <c r="B2" s="14"/>
      <c r="C2" s="14"/>
      <c r="D2" s="14"/>
      <c r="E2" s="14"/>
    </row>
    <row r="4" customFormat="false" ht="15" hidden="false" customHeight="true" outlineLevel="0" collapsed="false">
      <c r="A4" s="4" t="s">
        <v>69</v>
      </c>
      <c r="B4" s="4"/>
      <c r="C4" s="4"/>
      <c r="D4" s="4"/>
      <c r="E4" s="4"/>
    </row>
    <row r="5" customFormat="false" ht="15" hidden="false" customHeight="true" outlineLevel="0" collapsed="false">
      <c r="A5" s="5" t="s">
        <v>70</v>
      </c>
      <c r="B5" s="5" t="s">
        <v>71</v>
      </c>
      <c r="C5" s="5" t="s">
        <v>72</v>
      </c>
      <c r="D5" s="5" t="s">
        <v>73</v>
      </c>
      <c r="E5" s="5"/>
    </row>
    <row r="6" customFormat="false" ht="15" hidden="false" customHeight="true" outlineLevel="0" collapsed="false">
      <c r="A6" s="6" t="s">
        <v>74</v>
      </c>
      <c r="B6" s="15" t="s">
        <v>75</v>
      </c>
      <c r="C6" s="6"/>
      <c r="D6" s="16" t="s">
        <v>76</v>
      </c>
      <c r="E6" s="16"/>
    </row>
    <row r="7" customFormat="false" ht="15" hidden="false" customHeight="true" outlineLevel="0" collapsed="false">
      <c r="A7" s="6" t="s">
        <v>77</v>
      </c>
      <c r="B7" s="15" t="s">
        <v>78</v>
      </c>
      <c r="C7" s="6"/>
      <c r="D7" s="16" t="s">
        <v>79</v>
      </c>
      <c r="E7" s="16"/>
    </row>
    <row r="8" customFormat="false" ht="15" hidden="false" customHeight="true" outlineLevel="0" collapsed="false">
      <c r="A8" s="6" t="s">
        <v>80</v>
      </c>
      <c r="B8" s="15" t="s">
        <v>81</v>
      </c>
      <c r="C8" s="6"/>
      <c r="D8" s="16" t="s">
        <v>82</v>
      </c>
      <c r="E8" s="16"/>
    </row>
    <row r="9" customFormat="false" ht="15" hidden="false" customHeight="true" outlineLevel="0" collapsed="false">
      <c r="A9" s="6" t="s">
        <v>83</v>
      </c>
      <c r="B9" s="15" t="s">
        <v>84</v>
      </c>
      <c r="C9" s="6"/>
      <c r="D9" s="16" t="s">
        <v>85</v>
      </c>
      <c r="E9" s="16"/>
    </row>
    <row r="11" customFormat="false" ht="15" hidden="false" customHeight="true" outlineLevel="0" collapsed="false">
      <c r="A11" s="4" t="s">
        <v>86</v>
      </c>
      <c r="B11" s="4"/>
      <c r="C11" s="4"/>
      <c r="D11" s="4"/>
      <c r="E11" s="4"/>
    </row>
    <row r="12" customFormat="false" ht="15" hidden="false" customHeight="true" outlineLevel="0" collapsed="false">
      <c r="A12" s="5" t="s">
        <v>87</v>
      </c>
      <c r="B12" s="5" t="s">
        <v>88</v>
      </c>
      <c r="C12" s="5" t="s">
        <v>89</v>
      </c>
      <c r="D12" s="5" t="s">
        <v>90</v>
      </c>
      <c r="E12" s="5" t="s">
        <v>73</v>
      </c>
    </row>
    <row r="13" customFormat="false" ht="15" hidden="false" customHeight="true" outlineLevel="0" collapsed="false">
      <c r="A13" s="17" t="s">
        <v>91</v>
      </c>
      <c r="B13" s="18" t="s">
        <v>92</v>
      </c>
      <c r="C13" s="18"/>
      <c r="D13" s="18" t="s">
        <v>93</v>
      </c>
      <c r="E13" s="19" t="s">
        <v>94</v>
      </c>
    </row>
    <row r="14" customFormat="false" ht="15" hidden="false" customHeight="true" outlineLevel="0" collapsed="false">
      <c r="A14" s="20" t="s">
        <v>95</v>
      </c>
      <c r="B14" s="21" t="s">
        <v>96</v>
      </c>
      <c r="C14" s="21"/>
      <c r="D14" s="21" t="s">
        <v>97</v>
      </c>
      <c r="E14" s="22" t="s">
        <v>98</v>
      </c>
    </row>
    <row r="15" customFormat="false" ht="15" hidden="false" customHeight="true" outlineLevel="0" collapsed="false">
      <c r="A15" s="23" t="s">
        <v>99</v>
      </c>
      <c r="B15" s="24" t="s">
        <v>100</v>
      </c>
      <c r="C15" s="24"/>
      <c r="D15" s="24" t="s">
        <v>81</v>
      </c>
      <c r="E15" s="25" t="s">
        <v>101</v>
      </c>
    </row>
    <row r="16" customFormat="false" ht="15" hidden="false" customHeight="true" outlineLevel="0" collapsed="false">
      <c r="A16" s="26" t="s">
        <v>102</v>
      </c>
      <c r="B16" s="27" t="s">
        <v>103</v>
      </c>
      <c r="C16" s="27"/>
      <c r="D16" s="27" t="s">
        <v>104</v>
      </c>
      <c r="E16" s="28" t="s">
        <v>105</v>
      </c>
    </row>
    <row r="17" customFormat="false" ht="15" hidden="false" customHeight="true" outlineLevel="0" collapsed="false">
      <c r="A17" s="29" t="s">
        <v>106</v>
      </c>
      <c r="B17" s="30" t="s">
        <v>107</v>
      </c>
      <c r="C17" s="30"/>
      <c r="D17" s="30" t="s">
        <v>108</v>
      </c>
      <c r="E17" s="31" t="s">
        <v>109</v>
      </c>
    </row>
    <row r="19" customFormat="false" ht="15" hidden="false" customHeight="true" outlineLevel="0" collapsed="false">
      <c r="A19" s="4" t="s">
        <v>110</v>
      </c>
      <c r="B19" s="4"/>
      <c r="C19" s="4"/>
      <c r="D19" s="4"/>
      <c r="E19" s="4"/>
    </row>
    <row r="20" customFormat="false" ht="15" hidden="false" customHeight="true" outlineLevel="0" collapsed="false">
      <c r="A20" s="32" t="s">
        <v>111</v>
      </c>
      <c r="B20" s="33"/>
      <c r="C20" s="34" t="s">
        <v>112</v>
      </c>
      <c r="D20" s="34"/>
      <c r="E20" s="34"/>
    </row>
    <row r="21" customFormat="false" ht="15" hidden="false" customHeight="true" outlineLevel="0" collapsed="false">
      <c r="A21" s="32" t="s">
        <v>113</v>
      </c>
      <c r="B21" s="35"/>
      <c r="C21" s="34" t="s">
        <v>114</v>
      </c>
      <c r="D21" s="34"/>
      <c r="E21" s="34"/>
    </row>
    <row r="22" customFormat="false" ht="26.25" hidden="false" customHeight="true" outlineLevel="0" collapsed="false">
      <c r="A22" s="32" t="s">
        <v>115</v>
      </c>
      <c r="B22" s="36"/>
      <c r="C22" s="34" t="s">
        <v>116</v>
      </c>
      <c r="D22" s="34"/>
      <c r="E22" s="34"/>
    </row>
    <row r="23" customFormat="false" ht="26.25" hidden="false" customHeight="true" outlineLevel="0" collapsed="false">
      <c r="A23" s="32" t="s">
        <v>117</v>
      </c>
      <c r="B23" s="37"/>
      <c r="C23" s="34" t="s">
        <v>118</v>
      </c>
      <c r="D23" s="34"/>
      <c r="E23" s="34"/>
    </row>
    <row r="24" customFormat="false" ht="26.25" hidden="false" customHeight="true" outlineLevel="0" collapsed="false">
      <c r="A24" s="32" t="s">
        <v>119</v>
      </c>
      <c r="B24" s="37"/>
      <c r="C24" s="34" t="s">
        <v>120</v>
      </c>
      <c r="D24" s="34"/>
      <c r="E24" s="34"/>
    </row>
    <row r="26" customFormat="false" ht="15" hidden="false" customHeight="true" outlineLevel="0" collapsed="false">
      <c r="A26" s="4" t="s">
        <v>121</v>
      </c>
      <c r="B26" s="4"/>
      <c r="C26" s="4"/>
      <c r="D26" s="4"/>
      <c r="E26" s="4"/>
    </row>
    <row r="27" customFormat="false" ht="15" hidden="false" customHeight="true" outlineLevel="0" collapsed="false">
      <c r="A27" s="6" t="s">
        <v>122</v>
      </c>
      <c r="B27" s="38" t="str">
        <f aca="false">IF(B21="","",B21*100)</f>
        <v/>
      </c>
      <c r="C27" s="34" t="s">
        <v>123</v>
      </c>
      <c r="D27" s="34"/>
      <c r="E27" s="34"/>
    </row>
    <row r="28" customFormat="false" ht="26.25" hidden="false" customHeight="true" outlineLevel="0" collapsed="false">
      <c r="A28" s="6" t="s">
        <v>124</v>
      </c>
      <c r="B28" s="38" t="str">
        <f aca="false">IF(B22="","",(B22-1)/4*100)</f>
        <v/>
      </c>
      <c r="C28" s="34" t="s">
        <v>125</v>
      </c>
      <c r="D28" s="34"/>
      <c r="E28" s="34"/>
    </row>
    <row r="29" customFormat="false" ht="15" hidden="false" customHeight="true" outlineLevel="0" collapsed="false">
      <c r="A29" s="6" t="s">
        <v>126</v>
      </c>
      <c r="B29" s="38" t="str">
        <f aca="false">IF(B27="","",B27*0.4+B28*0.25+B23*0.2+B24*0.15)</f>
        <v/>
      </c>
      <c r="C29" s="34" t="s">
        <v>127</v>
      </c>
      <c r="D29" s="34"/>
      <c r="E29" s="34"/>
    </row>
    <row r="30" customFormat="false" ht="15" hidden="false" customHeight="true" outlineLevel="0" collapsed="false">
      <c r="A30" s="6" t="s">
        <v>128</v>
      </c>
      <c r="B30" s="39" t="str">
        <f aca="false">IF(B29="","",IF(B29&gt;=90,"Platinum",IF(B29&gt;=75,"Gold",IF(B29&gt;=55,"Silver",IF(B29&gt;=40,"Bronze","Suspended")))))</f>
        <v/>
      </c>
      <c r="C30" s="34" t="s">
        <v>129</v>
      </c>
      <c r="D30" s="34"/>
      <c r="E30" s="34"/>
    </row>
    <row r="31" customFormat="false" ht="15" hidden="false" customHeight="true" outlineLevel="0" collapsed="false">
      <c r="A31" s="6" t="s">
        <v>130</v>
      </c>
      <c r="B31" s="39" t="str">
        <f aca="false">IF(B30="","",IF(B30="Platinum","40%",IF(B30="Gold","30%",IF(B30="Silver","20%",IF(B30="Bronze","10%","0%")))))</f>
        <v/>
      </c>
      <c r="C31" s="34" t="s">
        <v>131</v>
      </c>
      <c r="D31" s="34"/>
      <c r="E31" s="34"/>
    </row>
    <row r="32" customFormat="false" ht="15" hidden="false" customHeight="true" outlineLevel="0" collapsed="false">
      <c r="A32" s="6" t="s">
        <v>132</v>
      </c>
      <c r="B32" s="40" t="str">
        <f aca="false">IF(B30="","",IF(OR(B30="Platinum",B30="Gold"),"No action needed",IF(B30="Silver","Schedule quarterly check-in",IF(B30="Bronze","Improvement plan required","Partnership review meeting required"))))</f>
        <v/>
      </c>
      <c r="C32" s="34" t="s">
        <v>133</v>
      </c>
      <c r="D32" s="34"/>
      <c r="E32" s="34"/>
    </row>
  </sheetData>
  <mergeCells count="22">
    <mergeCell ref="A1:E1"/>
    <mergeCell ref="A2:E2"/>
    <mergeCell ref="A4:E4"/>
    <mergeCell ref="D5:E5"/>
    <mergeCell ref="D6:E6"/>
    <mergeCell ref="D7:E7"/>
    <mergeCell ref="D8:E8"/>
    <mergeCell ref="D9:E9"/>
    <mergeCell ref="A11:E11"/>
    <mergeCell ref="A19:E19"/>
    <mergeCell ref="C20:E20"/>
    <mergeCell ref="C21:E21"/>
    <mergeCell ref="C22:E22"/>
    <mergeCell ref="C23:E23"/>
    <mergeCell ref="C24:E24"/>
    <mergeCell ref="A26:E26"/>
    <mergeCell ref="C27:E27"/>
    <mergeCell ref="C28:E28"/>
    <mergeCell ref="C29:E29"/>
    <mergeCell ref="C30:E30"/>
    <mergeCell ref="C31:E31"/>
    <mergeCell ref="C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19" min="4" style="1" width="14"/>
  </cols>
  <sheetData>
    <row r="1" customFormat="false" ht="27.75" hidden="false" customHeight="true" outlineLevel="0" collapsed="false">
      <c r="A1" s="2" t="s">
        <v>134</v>
      </c>
      <c r="B1" s="2"/>
      <c r="C1" s="2"/>
      <c r="D1" s="2"/>
      <c r="E1" s="2"/>
      <c r="F1" s="2"/>
      <c r="G1" s="2"/>
      <c r="H1" s="2"/>
      <c r="I1" s="2"/>
      <c r="J1" s="2"/>
      <c r="K1" s="2"/>
      <c r="L1" s="2"/>
      <c r="M1" s="2"/>
      <c r="N1" s="2"/>
      <c r="O1" s="2"/>
      <c r="P1" s="2"/>
      <c r="Q1" s="2"/>
      <c r="R1" s="2"/>
      <c r="S1" s="2"/>
    </row>
    <row r="2" customFormat="false" ht="15" hidden="false" customHeight="true" outlineLevel="0" collapsed="false">
      <c r="A2" s="14" t="s">
        <v>135</v>
      </c>
      <c r="B2" s="14"/>
      <c r="C2" s="14"/>
      <c r="D2" s="14"/>
      <c r="E2" s="14"/>
      <c r="F2" s="14"/>
      <c r="G2" s="14"/>
      <c r="H2" s="14"/>
      <c r="I2" s="14"/>
      <c r="J2" s="14"/>
      <c r="K2" s="14"/>
      <c r="L2" s="14"/>
      <c r="M2" s="14"/>
      <c r="N2" s="14"/>
      <c r="O2" s="14"/>
      <c r="P2" s="14"/>
      <c r="Q2" s="14"/>
      <c r="R2" s="14"/>
      <c r="S2" s="14"/>
    </row>
    <row r="4" customFormat="false" ht="18" hidden="false" customHeight="true" outlineLevel="0" collapsed="false">
      <c r="A4" s="41"/>
      <c r="B4" s="41"/>
      <c r="C4" s="41"/>
      <c r="D4" s="41" t="s">
        <v>136</v>
      </c>
      <c r="E4" s="41"/>
      <c r="F4" s="41"/>
      <c r="G4" s="41"/>
      <c r="H4" s="41"/>
      <c r="I4" s="41" t="s">
        <v>137</v>
      </c>
      <c r="J4" s="41"/>
      <c r="K4" s="41"/>
      <c r="L4" s="41"/>
      <c r="M4" s="41"/>
      <c r="N4" s="41" t="s">
        <v>138</v>
      </c>
      <c r="O4" s="41"/>
      <c r="P4" s="41"/>
      <c r="Q4" s="41"/>
      <c r="R4" s="41"/>
      <c r="S4" s="5"/>
    </row>
    <row r="5" customFormat="false" ht="36" hidden="false" customHeight="true" outlineLevel="0" collapsed="false">
      <c r="A5" s="5" t="s">
        <v>139</v>
      </c>
      <c r="B5" s="5" t="s">
        <v>140</v>
      </c>
      <c r="C5" s="5" t="s">
        <v>141</v>
      </c>
      <c r="D5" s="5" t="s">
        <v>31</v>
      </c>
      <c r="E5" s="5" t="s">
        <v>142</v>
      </c>
      <c r="F5" s="5" t="s">
        <v>21</v>
      </c>
      <c r="G5" s="5" t="s">
        <v>23</v>
      </c>
      <c r="H5" s="5" t="s">
        <v>25</v>
      </c>
      <c r="I5" s="5" t="s">
        <v>31</v>
      </c>
      <c r="J5" s="5" t="s">
        <v>142</v>
      </c>
      <c r="K5" s="5" t="s">
        <v>21</v>
      </c>
      <c r="L5" s="5" t="s">
        <v>23</v>
      </c>
      <c r="M5" s="5" t="s">
        <v>25</v>
      </c>
      <c r="N5" s="5" t="s">
        <v>31</v>
      </c>
      <c r="O5" s="5" t="s">
        <v>142</v>
      </c>
      <c r="P5" s="5" t="s">
        <v>21</v>
      </c>
      <c r="Q5" s="5" t="s">
        <v>23</v>
      </c>
      <c r="R5" s="5" t="s">
        <v>25</v>
      </c>
      <c r="S5" s="5" t="s">
        <v>143</v>
      </c>
    </row>
    <row r="6" customFormat="false" ht="15" hidden="false" customHeight="true" outlineLevel="0" collapsed="false">
      <c r="A6" s="15" t="s">
        <v>144</v>
      </c>
      <c r="B6" s="42" t="n">
        <f aca="false">Assumptions!$B$6</f>
        <v>800</v>
      </c>
      <c r="C6" s="42" t="n">
        <f aca="false">SUM(D6:H6)</f>
        <v>100</v>
      </c>
      <c r="D6" s="42" t="n">
        <f aca="false">Assumptions!$B$6*Assumptions!$B$9*Assumptions!$B$13*(6/12)</f>
        <v>30</v>
      </c>
      <c r="E6" s="42" t="n">
        <f aca="false">Assumptions!$B$6*Assumptions!$B$9*Assumptions!$B$14*(6/12)</f>
        <v>25</v>
      </c>
      <c r="F6" s="42" t="n">
        <f aca="false">Assumptions!$B$6*Assumptions!$B$9*Assumptions!$B$15*(6/12)</f>
        <v>25</v>
      </c>
      <c r="G6" s="42" t="n">
        <f aca="false">Assumptions!$B$6*Assumptions!$B$9*Assumptions!$B$16*(6/12)</f>
        <v>10</v>
      </c>
      <c r="H6" s="42" t="n">
        <f aca="false">Assumptions!$B$6*Assumptions!$B$9*Assumptions!$B$17*(6/12)</f>
        <v>10</v>
      </c>
      <c r="I6" s="42" t="n">
        <f aca="false">D6*Assumptions!$B$22</f>
        <v>12</v>
      </c>
      <c r="J6" s="42" t="n">
        <f aca="false">E6*Assumptions!$B$23</f>
        <v>7.5</v>
      </c>
      <c r="K6" s="42" t="n">
        <f aca="false">F6*Assumptions!$B$24</f>
        <v>8.75</v>
      </c>
      <c r="L6" s="42" t="n">
        <f aca="false">G6*Assumptions!$B$25</f>
        <v>2.5</v>
      </c>
      <c r="M6" s="42" t="n">
        <f aca="false">H6*Assumptions!$B$26</f>
        <v>3.5</v>
      </c>
      <c r="N6" s="43" t="n">
        <f aca="false">I6*Assumptions!$B$33</f>
        <v>7200</v>
      </c>
      <c r="O6" s="43" t="n">
        <f aca="false">J6*Assumptions!$B$34</f>
        <v>3750</v>
      </c>
      <c r="P6" s="43" t="n">
        <f aca="false">K6*Assumptions!$B$35</f>
        <v>7000</v>
      </c>
      <c r="Q6" s="43" t="n">
        <f aca="false">L6*Assumptions!$B$36</f>
        <v>1000</v>
      </c>
      <c r="R6" s="43" t="n">
        <f aca="false">M6*Assumptions!$B$37</f>
        <v>1050</v>
      </c>
      <c r="S6" s="43" t="n">
        <f aca="false">SUM(N6:R6)</f>
        <v>20000</v>
      </c>
    </row>
    <row r="7" customFormat="false" ht="15" hidden="false" customHeight="true" outlineLevel="0" collapsed="false">
      <c r="A7" s="44" t="s">
        <v>145</v>
      </c>
      <c r="B7" s="45" t="n">
        <f aca="false">Assumptions!$B$7</f>
        <v>2500</v>
      </c>
      <c r="C7" s="45" t="n">
        <f aca="false">SUM(D7:H7)</f>
        <v>625</v>
      </c>
      <c r="D7" s="45" t="n">
        <f aca="false">Assumptions!$B$7*Assumptions!$B$9*Assumptions!$B$13*1</f>
        <v>187.5</v>
      </c>
      <c r="E7" s="45" t="n">
        <f aca="false">Assumptions!$B$7*Assumptions!$B$9*Assumptions!$B$14*1</f>
        <v>156.25</v>
      </c>
      <c r="F7" s="45" t="n">
        <f aca="false">Assumptions!$B$7*Assumptions!$B$9*Assumptions!$B$15*1</f>
        <v>156.25</v>
      </c>
      <c r="G7" s="45" t="n">
        <f aca="false">Assumptions!$B$7*Assumptions!$B$9*Assumptions!$B$16*1</f>
        <v>62.5</v>
      </c>
      <c r="H7" s="45" t="n">
        <f aca="false">Assumptions!$B$7*Assumptions!$B$9*Assumptions!$B$17*1</f>
        <v>62.5</v>
      </c>
      <c r="I7" s="45" t="n">
        <f aca="false">D7*Assumptions!$B$22</f>
        <v>75</v>
      </c>
      <c r="J7" s="45" t="n">
        <f aca="false">E7*Assumptions!$B$23</f>
        <v>46.875</v>
      </c>
      <c r="K7" s="45" t="n">
        <f aca="false">F7*Assumptions!$B$24</f>
        <v>54.6875</v>
      </c>
      <c r="L7" s="45" t="n">
        <f aca="false">G7*Assumptions!$B$25</f>
        <v>15.625</v>
      </c>
      <c r="M7" s="45" t="n">
        <f aca="false">H7*Assumptions!$B$26</f>
        <v>21.875</v>
      </c>
      <c r="N7" s="46" t="n">
        <f aca="false">I7*Assumptions!$B$33</f>
        <v>45000</v>
      </c>
      <c r="O7" s="46" t="n">
        <f aca="false">J7*Assumptions!$B$34</f>
        <v>23437.5</v>
      </c>
      <c r="P7" s="46" t="n">
        <f aca="false">K7*Assumptions!$B$35</f>
        <v>43750</v>
      </c>
      <c r="Q7" s="46" t="n">
        <f aca="false">L7*Assumptions!$B$36</f>
        <v>6250</v>
      </c>
      <c r="R7" s="46" t="n">
        <f aca="false">M7*Assumptions!$B$37</f>
        <v>6562.5</v>
      </c>
      <c r="S7" s="46" t="n">
        <f aca="false">SUM(N7:R7)</f>
        <v>125000</v>
      </c>
    </row>
    <row r="8" customFormat="false" ht="15" hidden="false" customHeight="true" outlineLevel="0" collapsed="false">
      <c r="A8" s="15" t="s">
        <v>146</v>
      </c>
      <c r="B8" s="42" t="n">
        <f aca="false">Assumptions!$B$8</f>
        <v>9500</v>
      </c>
      <c r="C8" s="42" t="n">
        <f aca="false">SUM(D8:H8)</f>
        <v>2375</v>
      </c>
      <c r="D8" s="42" t="n">
        <f aca="false">Assumptions!$B$8*Assumptions!$B$9*Assumptions!$B$13*1</f>
        <v>712.5</v>
      </c>
      <c r="E8" s="42" t="n">
        <f aca="false">Assumptions!$B$8*Assumptions!$B$9*Assumptions!$B$14*1</f>
        <v>593.75</v>
      </c>
      <c r="F8" s="42" t="n">
        <f aca="false">Assumptions!$B$8*Assumptions!$B$9*Assumptions!$B$15*1</f>
        <v>593.75</v>
      </c>
      <c r="G8" s="42" t="n">
        <f aca="false">Assumptions!$B$8*Assumptions!$B$9*Assumptions!$B$16*1</f>
        <v>237.5</v>
      </c>
      <c r="H8" s="42" t="n">
        <f aca="false">Assumptions!$B$8*Assumptions!$B$9*Assumptions!$B$17*1</f>
        <v>237.5</v>
      </c>
      <c r="I8" s="42" t="n">
        <f aca="false">D8*(Assumptions!$B$22+Assumptions!$B$29)</f>
        <v>342</v>
      </c>
      <c r="J8" s="42" t="n">
        <f aca="false">E8*(Assumptions!$B$23+Assumptions!$B$29)</f>
        <v>225.625</v>
      </c>
      <c r="K8" s="42" t="n">
        <f aca="false">F8*(Assumptions!$B$24+Assumptions!$B$29)</f>
        <v>255.3125</v>
      </c>
      <c r="L8" s="42" t="n">
        <f aca="false">G8*(Assumptions!$B$25+Assumptions!$B$29)</f>
        <v>78.375</v>
      </c>
      <c r="M8" s="42" t="n">
        <f aca="false">H8*(Assumptions!$B$26+Assumptions!$B$29)</f>
        <v>102.125</v>
      </c>
      <c r="N8" s="43" t="n">
        <f aca="false">I8*Assumptions!$B$33</f>
        <v>205200</v>
      </c>
      <c r="O8" s="43" t="n">
        <f aca="false">J8*Assumptions!$B$34</f>
        <v>112812.5</v>
      </c>
      <c r="P8" s="43" t="n">
        <f aca="false">K8*Assumptions!$B$35</f>
        <v>204250</v>
      </c>
      <c r="Q8" s="43" t="n">
        <f aca="false">L8*Assumptions!$B$36</f>
        <v>31350</v>
      </c>
      <c r="R8" s="43" t="n">
        <f aca="false">M8*Assumptions!$B$37</f>
        <v>30637.5</v>
      </c>
      <c r="S8" s="43" t="n">
        <f aca="false">SUM(N8:R8)</f>
        <v>584250</v>
      </c>
    </row>
    <row r="10" customFormat="false" ht="15" hidden="false" customHeight="true" outlineLevel="0" collapsed="false">
      <c r="A10" s="4" t="s">
        <v>147</v>
      </c>
      <c r="B10" s="4"/>
      <c r="C10" s="4"/>
    </row>
    <row r="11" customFormat="false" ht="39" hidden="false" customHeight="true" outlineLevel="0" collapsed="false">
      <c r="A11" s="47" t="s">
        <v>148</v>
      </c>
      <c r="B11" s="48" t="n">
        <f aca="false">S6</f>
        <v>20000</v>
      </c>
      <c r="C11" s="49"/>
    </row>
    <row r="12" customFormat="false" ht="39" hidden="false" customHeight="true" outlineLevel="0" collapsed="false">
      <c r="A12" s="47" t="s">
        <v>149</v>
      </c>
      <c r="B12" s="48" t="n">
        <f aca="false">S7</f>
        <v>125000</v>
      </c>
      <c r="C12" s="49"/>
    </row>
    <row r="13" customFormat="false" ht="39" hidden="false" customHeight="true" outlineLevel="0" collapsed="false">
      <c r="A13" s="47" t="s">
        <v>150</v>
      </c>
      <c r="B13" s="48" t="n">
        <f aca="false">S8</f>
        <v>584250</v>
      </c>
      <c r="C13" s="49"/>
    </row>
    <row r="14" customFormat="false" ht="39" hidden="false" customHeight="true" outlineLevel="0" collapsed="false">
      <c r="A14" s="47" t="s">
        <v>151</v>
      </c>
      <c r="B14" s="48" t="n">
        <f aca="false">S6+S7+S8</f>
        <v>729250</v>
      </c>
      <c r="C14" s="49"/>
    </row>
    <row r="15" customFormat="false" ht="39" hidden="false" customHeight="true" outlineLevel="0" collapsed="false">
      <c r="A15" s="47" t="s">
        <v>152</v>
      </c>
      <c r="B15" s="50" t="n">
        <f aca="false">(S8-S7)/S7</f>
        <v>3.674</v>
      </c>
      <c r="C15" s="49"/>
    </row>
  </sheetData>
  <mergeCells count="7">
    <mergeCell ref="A1:S1"/>
    <mergeCell ref="A2:S2"/>
    <mergeCell ref="A4:C4"/>
    <mergeCell ref="D4:H4"/>
    <mergeCell ref="I4:M4"/>
    <mergeCell ref="N4:R4"/>
    <mergeCell ref="A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19" min="4" style="1" width="14"/>
  </cols>
  <sheetData>
    <row r="1" customFormat="false" ht="27.75" hidden="false" customHeight="true" outlineLevel="0" collapsed="false">
      <c r="A1" s="2" t="s">
        <v>153</v>
      </c>
      <c r="B1" s="2"/>
      <c r="C1" s="2"/>
      <c r="D1" s="2"/>
      <c r="E1" s="2"/>
      <c r="F1" s="2"/>
      <c r="G1" s="2"/>
      <c r="H1" s="2"/>
      <c r="I1" s="2"/>
      <c r="J1" s="2"/>
      <c r="K1" s="2"/>
      <c r="L1" s="2"/>
      <c r="M1" s="2"/>
      <c r="N1" s="2"/>
      <c r="O1" s="2"/>
      <c r="P1" s="2"/>
      <c r="Q1" s="2"/>
      <c r="R1" s="2"/>
      <c r="S1" s="2"/>
    </row>
    <row r="2" customFormat="false" ht="15" hidden="false" customHeight="true" outlineLevel="0" collapsed="false">
      <c r="A2" s="14" t="s">
        <v>154</v>
      </c>
      <c r="B2" s="14"/>
      <c r="C2" s="14"/>
      <c r="D2" s="14"/>
      <c r="E2" s="14"/>
      <c r="F2" s="14"/>
      <c r="G2" s="14"/>
      <c r="H2" s="14"/>
      <c r="I2" s="14"/>
      <c r="J2" s="14"/>
      <c r="K2" s="14"/>
      <c r="L2" s="14"/>
      <c r="M2" s="14"/>
      <c r="N2" s="14"/>
      <c r="O2" s="14"/>
      <c r="P2" s="14"/>
      <c r="Q2" s="14"/>
      <c r="R2" s="14"/>
      <c r="S2" s="14"/>
    </row>
    <row r="4" customFormat="false" ht="18" hidden="false" customHeight="true" outlineLevel="0" collapsed="false">
      <c r="A4" s="41"/>
      <c r="B4" s="41"/>
      <c r="C4" s="41"/>
      <c r="D4" s="41" t="s">
        <v>136</v>
      </c>
      <c r="E4" s="41"/>
      <c r="F4" s="41"/>
      <c r="G4" s="41"/>
      <c r="H4" s="41"/>
      <c r="I4" s="41" t="s">
        <v>137</v>
      </c>
      <c r="J4" s="41"/>
      <c r="K4" s="41"/>
      <c r="L4" s="41"/>
      <c r="M4" s="41"/>
      <c r="N4" s="41" t="s">
        <v>155</v>
      </c>
      <c r="O4" s="41"/>
      <c r="P4" s="41"/>
      <c r="Q4" s="41"/>
      <c r="R4" s="41"/>
      <c r="S4" s="5"/>
    </row>
    <row r="5" customFormat="false" ht="36" hidden="false" customHeight="true" outlineLevel="0" collapsed="false">
      <c r="A5" s="5" t="s">
        <v>139</v>
      </c>
      <c r="B5" s="5" t="s">
        <v>140</v>
      </c>
      <c r="C5" s="5" t="s">
        <v>141</v>
      </c>
      <c r="D5" s="5" t="s">
        <v>31</v>
      </c>
      <c r="E5" s="5" t="s">
        <v>142</v>
      </c>
      <c r="F5" s="5" t="s">
        <v>21</v>
      </c>
      <c r="G5" s="5" t="s">
        <v>23</v>
      </c>
      <c r="H5" s="5" t="s">
        <v>25</v>
      </c>
      <c r="I5" s="5" t="s">
        <v>31</v>
      </c>
      <c r="J5" s="5" t="s">
        <v>142</v>
      </c>
      <c r="K5" s="5" t="s">
        <v>21</v>
      </c>
      <c r="L5" s="5" t="s">
        <v>23</v>
      </c>
      <c r="M5" s="5" t="s">
        <v>25</v>
      </c>
      <c r="N5" s="5" t="s">
        <v>31</v>
      </c>
      <c r="O5" s="5" t="s">
        <v>142</v>
      </c>
      <c r="P5" s="5" t="s">
        <v>21</v>
      </c>
      <c r="Q5" s="5" t="s">
        <v>23</v>
      </c>
      <c r="R5" s="5" t="s">
        <v>25</v>
      </c>
      <c r="S5" s="5" t="s">
        <v>143</v>
      </c>
    </row>
    <row r="6" customFormat="false" ht="15" hidden="false" customHeight="true" outlineLevel="0" collapsed="false">
      <c r="A6" s="15" t="s">
        <v>144</v>
      </c>
      <c r="B6" s="42" t="n">
        <f aca="false">Assumptions!$B$6</f>
        <v>800</v>
      </c>
      <c r="C6" s="42" t="n">
        <f aca="false">SUM(D6:H6)</f>
        <v>100</v>
      </c>
      <c r="D6" s="42" t="n">
        <f aca="false">Assumptions!$B$6*Assumptions!$B$9*Assumptions!$B$13*(6/12)</f>
        <v>30</v>
      </c>
      <c r="E6" s="42" t="n">
        <f aca="false">Assumptions!$B$6*Assumptions!$B$9*Assumptions!$B$14*(6/12)</f>
        <v>25</v>
      </c>
      <c r="F6" s="42" t="n">
        <f aca="false">Assumptions!$B$6*Assumptions!$B$9*Assumptions!$B$15*(6/12)</f>
        <v>25</v>
      </c>
      <c r="G6" s="42" t="n">
        <f aca="false">Assumptions!$B$6*Assumptions!$B$9*Assumptions!$B$16*(6/12)</f>
        <v>10</v>
      </c>
      <c r="H6" s="42" t="n">
        <f aca="false">Assumptions!$B$6*Assumptions!$B$9*Assumptions!$B$17*(6/12)</f>
        <v>10</v>
      </c>
      <c r="I6" s="42" t="n">
        <f aca="false">D6*Assumptions!$B$22</f>
        <v>12</v>
      </c>
      <c r="J6" s="42" t="n">
        <f aca="false">E6*Assumptions!$B$23</f>
        <v>7.5</v>
      </c>
      <c r="K6" s="42" t="n">
        <f aca="false">F6*Assumptions!$B$24</f>
        <v>8.75</v>
      </c>
      <c r="L6" s="42" t="n">
        <f aca="false">G6*Assumptions!$B$25</f>
        <v>2.5</v>
      </c>
      <c r="M6" s="42" t="n">
        <f aca="false">H6*Assumptions!$B$26</f>
        <v>3.5</v>
      </c>
      <c r="N6" s="43" t="n">
        <f aca="false">I6*Assumptions!$B$41*Assumptions!$B$49</f>
        <v>5400</v>
      </c>
      <c r="O6" s="43" t="n">
        <f aca="false">J6*Assumptions!$B$42*Assumptions!$B$50</f>
        <v>3150</v>
      </c>
      <c r="P6" s="43" t="n">
        <f aca="false">K6*Assumptions!$B$43*Assumptions!$B$51</f>
        <v>30625</v>
      </c>
      <c r="Q6" s="43" t="n">
        <f aca="false">L6*Assumptions!$B$44*Assumptions!$B$52</f>
        <v>1687.5</v>
      </c>
      <c r="R6" s="43" t="n">
        <f aca="false">M6*Assumptions!$B$45*Assumptions!$B$53</f>
        <v>787.5</v>
      </c>
      <c r="S6" s="43" t="n">
        <f aca="false">SUM(N6:R6)</f>
        <v>41650</v>
      </c>
    </row>
    <row r="7" customFormat="false" ht="15" hidden="false" customHeight="true" outlineLevel="0" collapsed="false">
      <c r="A7" s="44" t="s">
        <v>145</v>
      </c>
      <c r="B7" s="45" t="n">
        <f aca="false">Assumptions!$B$7</f>
        <v>2500</v>
      </c>
      <c r="C7" s="45" t="n">
        <f aca="false">SUM(D7:H7)</f>
        <v>625</v>
      </c>
      <c r="D7" s="45" t="n">
        <f aca="false">Assumptions!$B$7*Assumptions!$B$9*Assumptions!$B$13*1</f>
        <v>187.5</v>
      </c>
      <c r="E7" s="45" t="n">
        <f aca="false">Assumptions!$B$7*Assumptions!$B$9*Assumptions!$B$14*1</f>
        <v>156.25</v>
      </c>
      <c r="F7" s="45" t="n">
        <f aca="false">Assumptions!$B$7*Assumptions!$B$9*Assumptions!$B$15*1</f>
        <v>156.25</v>
      </c>
      <c r="G7" s="45" t="n">
        <f aca="false">Assumptions!$B$7*Assumptions!$B$9*Assumptions!$B$16*1</f>
        <v>62.5</v>
      </c>
      <c r="H7" s="45" t="n">
        <f aca="false">Assumptions!$B$7*Assumptions!$B$9*Assumptions!$B$17*1</f>
        <v>62.5</v>
      </c>
      <c r="I7" s="45" t="n">
        <f aca="false">D7*Assumptions!$B$22</f>
        <v>75</v>
      </c>
      <c r="J7" s="45" t="n">
        <f aca="false">E7*Assumptions!$B$23</f>
        <v>46.875</v>
      </c>
      <c r="K7" s="45" t="n">
        <f aca="false">F7*Assumptions!$B$24</f>
        <v>54.6875</v>
      </c>
      <c r="L7" s="45" t="n">
        <f aca="false">G7*Assumptions!$B$25</f>
        <v>15.625</v>
      </c>
      <c r="M7" s="45" t="n">
        <f aca="false">H7*Assumptions!$B$26</f>
        <v>21.875</v>
      </c>
      <c r="N7" s="46" t="n">
        <f aca="false">I7*Assumptions!$B$41*Assumptions!$B$49</f>
        <v>33750</v>
      </c>
      <c r="O7" s="46" t="n">
        <f aca="false">J7*Assumptions!$B$42*Assumptions!$B$50</f>
        <v>19687.5</v>
      </c>
      <c r="P7" s="46" t="n">
        <f aca="false">K7*Assumptions!$B$43*Assumptions!$B$51</f>
        <v>191406.25</v>
      </c>
      <c r="Q7" s="46" t="n">
        <f aca="false">L7*Assumptions!$B$44*Assumptions!$B$52</f>
        <v>10546.875</v>
      </c>
      <c r="R7" s="46" t="n">
        <f aca="false">M7*Assumptions!$B$45*Assumptions!$B$53</f>
        <v>4921.875</v>
      </c>
      <c r="S7" s="46" t="n">
        <f aca="false">SUM(N7:R7)</f>
        <v>260312.5</v>
      </c>
    </row>
    <row r="8" customFormat="false" ht="15" hidden="false" customHeight="true" outlineLevel="0" collapsed="false">
      <c r="A8" s="15" t="s">
        <v>146</v>
      </c>
      <c r="B8" s="42" t="n">
        <f aca="false">Assumptions!$B$8</f>
        <v>9500</v>
      </c>
      <c r="C8" s="42" t="n">
        <f aca="false">SUM(D8:H8)</f>
        <v>2375</v>
      </c>
      <c r="D8" s="42" t="n">
        <f aca="false">Assumptions!$B$8*Assumptions!$B$9*Assumptions!$B$13*1</f>
        <v>712.5</v>
      </c>
      <c r="E8" s="42" t="n">
        <f aca="false">Assumptions!$B$8*Assumptions!$B$9*Assumptions!$B$14*1</f>
        <v>593.75</v>
      </c>
      <c r="F8" s="42" t="n">
        <f aca="false">Assumptions!$B$8*Assumptions!$B$9*Assumptions!$B$15*1</f>
        <v>593.75</v>
      </c>
      <c r="G8" s="42" t="n">
        <f aca="false">Assumptions!$B$8*Assumptions!$B$9*Assumptions!$B$16*1</f>
        <v>237.5</v>
      </c>
      <c r="H8" s="42" t="n">
        <f aca="false">Assumptions!$B$8*Assumptions!$B$9*Assumptions!$B$17*1</f>
        <v>237.5</v>
      </c>
      <c r="I8" s="42" t="n">
        <f aca="false">D8*(Assumptions!$B$22+Assumptions!$B$29)</f>
        <v>342</v>
      </c>
      <c r="J8" s="42" t="n">
        <f aca="false">E8*(Assumptions!$B$23+Assumptions!$B$29)</f>
        <v>225.625</v>
      </c>
      <c r="K8" s="42" t="n">
        <f aca="false">F8*(Assumptions!$B$24+Assumptions!$B$29)</f>
        <v>255.3125</v>
      </c>
      <c r="L8" s="42" t="n">
        <f aca="false">G8*(Assumptions!$B$25+Assumptions!$B$29)</f>
        <v>78.375</v>
      </c>
      <c r="M8" s="42" t="n">
        <f aca="false">H8*(Assumptions!$B$26+Assumptions!$B$29)</f>
        <v>102.125</v>
      </c>
      <c r="N8" s="43" t="n">
        <f aca="false">I8*Assumptions!$B$41*Assumptions!$B$49</f>
        <v>153900</v>
      </c>
      <c r="O8" s="43" t="n">
        <f aca="false">J8*Assumptions!$B$42*Assumptions!$B$50</f>
        <v>94762.5</v>
      </c>
      <c r="P8" s="43" t="n">
        <f aca="false">K8*Assumptions!$B$43*Assumptions!$B$51</f>
        <v>893593.75</v>
      </c>
      <c r="Q8" s="43" t="n">
        <f aca="false">L8*Assumptions!$B$44*Assumptions!$B$52</f>
        <v>52903.125</v>
      </c>
      <c r="R8" s="43" t="n">
        <f aca="false">M8*Assumptions!$B$45*Assumptions!$B$53</f>
        <v>22978.125</v>
      </c>
      <c r="S8" s="43" t="n">
        <f aca="false">SUM(N8:R8)</f>
        <v>1218137.5</v>
      </c>
    </row>
    <row r="10" customFormat="false" ht="15" hidden="false" customHeight="true" outlineLevel="0" collapsed="false">
      <c r="A10" s="4" t="s">
        <v>147</v>
      </c>
      <c r="B10" s="4"/>
      <c r="C10" s="4"/>
    </row>
    <row r="11" customFormat="false" ht="39" hidden="false" customHeight="true" outlineLevel="0" collapsed="false">
      <c r="A11" s="47" t="s">
        <v>148</v>
      </c>
      <c r="B11" s="48" t="n">
        <f aca="false">S6</f>
        <v>41650</v>
      </c>
      <c r="C11" s="49"/>
    </row>
    <row r="12" customFormat="false" ht="39" hidden="false" customHeight="true" outlineLevel="0" collapsed="false">
      <c r="A12" s="47" t="s">
        <v>149</v>
      </c>
      <c r="B12" s="48" t="n">
        <f aca="false">S7</f>
        <v>260312.5</v>
      </c>
      <c r="C12" s="49"/>
    </row>
    <row r="13" customFormat="false" ht="39" hidden="false" customHeight="true" outlineLevel="0" collapsed="false">
      <c r="A13" s="47" t="s">
        <v>150</v>
      </c>
      <c r="B13" s="48" t="n">
        <f aca="false">S8</f>
        <v>1218137.5</v>
      </c>
      <c r="C13" s="49"/>
    </row>
    <row r="14" customFormat="false" ht="39" hidden="false" customHeight="true" outlineLevel="0" collapsed="false">
      <c r="A14" s="47" t="s">
        <v>151</v>
      </c>
      <c r="B14" s="48" t="n">
        <f aca="false">S6+S7+S8</f>
        <v>1520100</v>
      </c>
      <c r="C14" s="49"/>
    </row>
    <row r="15" customFormat="false" ht="39" hidden="false" customHeight="true" outlineLevel="0" collapsed="false">
      <c r="A15" s="47" t="s">
        <v>152</v>
      </c>
      <c r="B15" s="50" t="n">
        <f aca="false">(S8-S7)/S7</f>
        <v>3.67951980792317</v>
      </c>
      <c r="C15" s="49"/>
    </row>
    <row r="17" customFormat="false" ht="15" hidden="false" customHeight="true" outlineLevel="0" collapsed="false">
      <c r="A17" s="4" t="s">
        <v>156</v>
      </c>
      <c r="B17" s="4"/>
      <c r="C17" s="4"/>
      <c r="D17" s="4"/>
      <c r="E17" s="4"/>
      <c r="F17" s="4"/>
      <c r="G17" s="4"/>
      <c r="H17" s="4"/>
      <c r="I17" s="4"/>
      <c r="J17" s="4"/>
      <c r="K17" s="4"/>
      <c r="L17" s="4"/>
      <c r="M17" s="4"/>
      <c r="N17" s="4"/>
      <c r="O17" s="4"/>
      <c r="P17" s="4"/>
      <c r="Q17" s="4"/>
      <c r="R17" s="4"/>
      <c r="S17" s="4"/>
    </row>
    <row r="18" customFormat="false" ht="30" hidden="false" customHeight="true" outlineLevel="0" collapsed="false">
      <c r="A18" s="51" t="s">
        <v>157</v>
      </c>
      <c r="B18" s="51"/>
      <c r="C18" s="51"/>
      <c r="D18" s="51"/>
      <c r="E18" s="51"/>
      <c r="F18" s="51"/>
      <c r="G18" s="51"/>
      <c r="H18" s="51"/>
      <c r="I18" s="51"/>
      <c r="J18" s="51"/>
      <c r="K18" s="51"/>
      <c r="L18" s="51"/>
      <c r="M18" s="51"/>
      <c r="N18" s="51"/>
      <c r="O18" s="51"/>
      <c r="P18" s="51"/>
      <c r="Q18" s="51"/>
      <c r="R18" s="51"/>
      <c r="S18" s="51"/>
    </row>
    <row r="19" customFormat="false" ht="30" hidden="false" customHeight="true" outlineLevel="0" collapsed="false">
      <c r="A19" s="51" t="s">
        <v>158</v>
      </c>
      <c r="B19" s="51"/>
      <c r="C19" s="51"/>
      <c r="D19" s="51"/>
      <c r="E19" s="51"/>
      <c r="F19" s="51"/>
      <c r="G19" s="51"/>
      <c r="H19" s="51"/>
      <c r="I19" s="51"/>
      <c r="J19" s="51"/>
      <c r="K19" s="51"/>
      <c r="L19" s="51"/>
      <c r="M19" s="51"/>
      <c r="N19" s="51"/>
      <c r="O19" s="51"/>
      <c r="P19" s="51"/>
      <c r="Q19" s="51"/>
      <c r="R19" s="51"/>
      <c r="S19" s="51"/>
    </row>
    <row r="20" customFormat="false" ht="30" hidden="false" customHeight="true" outlineLevel="0" collapsed="false">
      <c r="A20" s="51" t="s">
        <v>159</v>
      </c>
      <c r="B20" s="51"/>
      <c r="C20" s="51"/>
      <c r="D20" s="51"/>
      <c r="E20" s="51"/>
      <c r="F20" s="51"/>
      <c r="G20" s="51"/>
      <c r="H20" s="51"/>
      <c r="I20" s="51"/>
      <c r="J20" s="51"/>
      <c r="K20" s="51"/>
      <c r="L20" s="51"/>
      <c r="M20" s="51"/>
      <c r="N20" s="51"/>
      <c r="O20" s="51"/>
      <c r="P20" s="51"/>
      <c r="Q20" s="51"/>
      <c r="R20" s="51"/>
      <c r="S20" s="51"/>
    </row>
  </sheetData>
  <mergeCells count="11">
    <mergeCell ref="A1:S1"/>
    <mergeCell ref="A2:S2"/>
    <mergeCell ref="A4:C4"/>
    <mergeCell ref="D4:H4"/>
    <mergeCell ref="I4:M4"/>
    <mergeCell ref="N4:R4"/>
    <mergeCell ref="A10:C10"/>
    <mergeCell ref="A17:S17"/>
    <mergeCell ref="A18:S18"/>
    <mergeCell ref="A19:S19"/>
    <mergeCell ref="A20:S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4" min="2" style="1" width="18"/>
    <col collapsed="false" customWidth="true" hidden="false" outlineLevel="0" max="5" min="5" style="1" width="22"/>
    <col collapsed="false" customWidth="true" hidden="false" outlineLevel="0" max="7" min="6" style="1" width="18"/>
  </cols>
  <sheetData>
    <row r="1" customFormat="false" ht="27.75" hidden="false" customHeight="true" outlineLevel="0" collapsed="false">
      <c r="A1" s="2" t="s">
        <v>160</v>
      </c>
      <c r="B1" s="2"/>
      <c r="C1" s="2"/>
      <c r="D1" s="2"/>
      <c r="E1" s="2"/>
      <c r="F1" s="2"/>
      <c r="G1" s="2"/>
    </row>
    <row r="2" customFormat="false" ht="15" hidden="false" customHeight="true" outlineLevel="0" collapsed="false">
      <c r="A2" s="14" t="s">
        <v>161</v>
      </c>
      <c r="B2" s="14"/>
      <c r="C2" s="14"/>
      <c r="D2" s="14"/>
      <c r="E2" s="14"/>
      <c r="F2" s="14"/>
      <c r="G2" s="14"/>
    </row>
    <row r="4" customFormat="false" ht="15" hidden="false" customHeight="true" outlineLevel="0" collapsed="false">
      <c r="A4" s="4" t="s">
        <v>162</v>
      </c>
      <c r="B4" s="4"/>
      <c r="C4" s="4"/>
      <c r="D4" s="4"/>
      <c r="E4" s="4"/>
      <c r="F4" s="4"/>
      <c r="G4" s="4"/>
    </row>
    <row r="5" customFormat="false" ht="19.5" hidden="false" customHeight="true" outlineLevel="0" collapsed="false">
      <c r="A5" s="5" t="s">
        <v>163</v>
      </c>
      <c r="B5" s="5" t="s">
        <v>144</v>
      </c>
      <c r="C5" s="5" t="s">
        <v>145</v>
      </c>
      <c r="D5" s="5" t="s">
        <v>146</v>
      </c>
      <c r="E5" s="5" t="s">
        <v>164</v>
      </c>
    </row>
    <row r="6" customFormat="false" ht="15" hidden="false" customHeight="true" outlineLevel="0" collapsed="false">
      <c r="A6" s="32" t="s">
        <v>165</v>
      </c>
      <c r="B6" s="43" t="n">
        <f aca="false">'Fixed Fee Projections'!S6</f>
        <v>20000</v>
      </c>
      <c r="C6" s="43" t="n">
        <f aca="false">'Fixed Fee Projections'!S7</f>
        <v>125000</v>
      </c>
      <c r="D6" s="43" t="n">
        <f aca="false">'Fixed Fee Projections'!S8</f>
        <v>584250</v>
      </c>
      <c r="E6" s="43" t="n">
        <f aca="false">'Fixed Fee Projections'!S6+'Fixed Fee Projections'!S7+'Fixed Fee Projections'!S8</f>
        <v>729250</v>
      </c>
    </row>
    <row r="7" customFormat="false" ht="15" hidden="false" customHeight="true" outlineLevel="0" collapsed="false">
      <c r="A7" s="11" t="s">
        <v>166</v>
      </c>
      <c r="B7" s="46" t="n">
        <f aca="false">'Percentage Fee Projections'!S6</f>
        <v>41650</v>
      </c>
      <c r="C7" s="46" t="n">
        <f aca="false">'Percentage Fee Projections'!S7</f>
        <v>260312.5</v>
      </c>
      <c r="D7" s="46" t="n">
        <f aca="false">'Percentage Fee Projections'!S8</f>
        <v>1218137.5</v>
      </c>
      <c r="E7" s="46" t="n">
        <f aca="false">'Percentage Fee Projections'!S6+'Percentage Fee Projections'!S7+'Percentage Fee Projections'!S8</f>
        <v>1520100</v>
      </c>
    </row>
    <row r="8" customFormat="false" ht="15" hidden="false" customHeight="true" outlineLevel="0" collapsed="false">
      <c r="A8" s="52" t="s">
        <v>167</v>
      </c>
      <c r="B8" s="53" t="n">
        <f aca="false">B7-B6</f>
        <v>21650</v>
      </c>
      <c r="C8" s="53" t="n">
        <f aca="false">C7-C6</f>
        <v>135312.5</v>
      </c>
      <c r="D8" s="53" t="n">
        <f aca="false">D7-D6</f>
        <v>633887.5</v>
      </c>
      <c r="E8" s="53" t="n">
        <f aca="false">E7-E6</f>
        <v>790850</v>
      </c>
    </row>
    <row r="9" customFormat="false" ht="15" hidden="false" customHeight="true" outlineLevel="0" collapsed="false">
      <c r="A9" s="52" t="s">
        <v>168</v>
      </c>
      <c r="B9" s="54" t="n">
        <f aca="false">IF(B6=0,"",(  B7-B6)/B6)</f>
        <v>1.0825</v>
      </c>
      <c r="C9" s="54" t="n">
        <f aca="false">IF(C6=0,"",(  C7-C6)/C6)</f>
        <v>1.0825</v>
      </c>
      <c r="D9" s="54" t="n">
        <f aca="false">IF(D6=0,"",(  D7-D6)/D6)</f>
        <v>1.0849593495935</v>
      </c>
      <c r="E9" s="54" t="n">
        <f aca="false">IF(E6=0,"",(  E7-E6)/E6)</f>
        <v>1.08447034624614</v>
      </c>
    </row>
    <row r="11" customFormat="false" ht="15" hidden="false" customHeight="true" outlineLevel="0" collapsed="false">
      <c r="A11" s="4" t="s">
        <v>169</v>
      </c>
      <c r="B11" s="4"/>
      <c r="C11" s="4"/>
      <c r="D11" s="4"/>
      <c r="E11" s="4"/>
      <c r="F11" s="4"/>
      <c r="G11" s="4"/>
    </row>
    <row r="12" customFormat="false" ht="36" hidden="false" customHeight="true" outlineLevel="0" collapsed="false">
      <c r="A12" s="5" t="s">
        <v>15</v>
      </c>
      <c r="B12" s="5" t="s">
        <v>170</v>
      </c>
      <c r="C12" s="5" t="s">
        <v>171</v>
      </c>
      <c r="D12" s="5" t="s">
        <v>172</v>
      </c>
      <c r="E12" s="5" t="s">
        <v>173</v>
      </c>
      <c r="F12" s="5" t="s">
        <v>174</v>
      </c>
      <c r="G12" s="5" t="s">
        <v>175</v>
      </c>
    </row>
    <row r="13" customFormat="false" ht="15" hidden="false" customHeight="true" outlineLevel="0" collapsed="false">
      <c r="A13" s="6" t="s">
        <v>31</v>
      </c>
      <c r="B13" s="43" t="n">
        <f aca="false">'Fixed Fee Projections'!N8</f>
        <v>205200</v>
      </c>
      <c r="C13" s="43" t="n">
        <f aca="false">'Percentage Fee Projections'!N8</f>
        <v>153900</v>
      </c>
      <c r="D13" s="43" t="n">
        <f aca="false">B13</f>
        <v>205200</v>
      </c>
      <c r="E13" s="43" t="n">
        <f aca="false">C13</f>
        <v>153900</v>
      </c>
      <c r="F13" s="43" t="n">
        <f aca="false">C13-B13</f>
        <v>-51300</v>
      </c>
      <c r="G13" s="55" t="n">
        <f aca="false">IF(B13=0,"",(C13-B13)/B13)</f>
        <v>-0.25</v>
      </c>
    </row>
    <row r="14" customFormat="false" ht="15" hidden="false" customHeight="true" outlineLevel="0" collapsed="false">
      <c r="A14" s="10" t="s">
        <v>142</v>
      </c>
      <c r="B14" s="46" t="n">
        <f aca="false">'Fixed Fee Projections'!O8</f>
        <v>112812.5</v>
      </c>
      <c r="C14" s="46" t="n">
        <f aca="false">'Percentage Fee Projections'!O8</f>
        <v>94762.5</v>
      </c>
      <c r="D14" s="46" t="n">
        <f aca="false">B14</f>
        <v>112812.5</v>
      </c>
      <c r="E14" s="46" t="n">
        <f aca="false">C14</f>
        <v>94762.5</v>
      </c>
      <c r="F14" s="46" t="n">
        <f aca="false">C14-B14</f>
        <v>-18050</v>
      </c>
      <c r="G14" s="12" t="n">
        <f aca="false">IF(B14=0,"",(C14-B14)/B14)</f>
        <v>-0.16</v>
      </c>
    </row>
    <row r="15" customFormat="false" ht="15" hidden="false" customHeight="true" outlineLevel="0" collapsed="false">
      <c r="A15" s="6" t="s">
        <v>21</v>
      </c>
      <c r="B15" s="43" t="n">
        <f aca="false">'Fixed Fee Projections'!P8</f>
        <v>204250</v>
      </c>
      <c r="C15" s="43" t="n">
        <f aca="false">'Percentage Fee Projections'!P8</f>
        <v>893593.75</v>
      </c>
      <c r="D15" s="43" t="n">
        <f aca="false">B15</f>
        <v>204250</v>
      </c>
      <c r="E15" s="43" t="n">
        <f aca="false">C15</f>
        <v>893593.75</v>
      </c>
      <c r="F15" s="43" t="n">
        <f aca="false">C15-B15</f>
        <v>689343.75</v>
      </c>
      <c r="G15" s="55" t="n">
        <f aca="false">IF(B15=0,"",(C15-B15)/B15)</f>
        <v>3.375</v>
      </c>
    </row>
    <row r="16" customFormat="false" ht="15" hidden="false" customHeight="true" outlineLevel="0" collapsed="false">
      <c r="A16" s="10" t="s">
        <v>23</v>
      </c>
      <c r="B16" s="46" t="n">
        <f aca="false">'Fixed Fee Projections'!Q8</f>
        <v>31350</v>
      </c>
      <c r="C16" s="46" t="n">
        <f aca="false">'Percentage Fee Projections'!Q8</f>
        <v>52903.125</v>
      </c>
      <c r="D16" s="46" t="n">
        <f aca="false">B16</f>
        <v>31350</v>
      </c>
      <c r="E16" s="46" t="n">
        <f aca="false">C16</f>
        <v>52903.125</v>
      </c>
      <c r="F16" s="46" t="n">
        <f aca="false">C16-B16</f>
        <v>21553.125</v>
      </c>
      <c r="G16" s="12" t="n">
        <f aca="false">IF(B16=0,"",(C16-B16)/B16)</f>
        <v>0.6875</v>
      </c>
    </row>
    <row r="17" customFormat="false" ht="15" hidden="false" customHeight="true" outlineLevel="0" collapsed="false">
      <c r="A17" s="6" t="s">
        <v>25</v>
      </c>
      <c r="B17" s="43" t="n">
        <f aca="false">'Fixed Fee Projections'!R8</f>
        <v>30637.5</v>
      </c>
      <c r="C17" s="43" t="n">
        <f aca="false">'Percentage Fee Projections'!R8</f>
        <v>22978.125</v>
      </c>
      <c r="D17" s="43" t="n">
        <f aca="false">B17</f>
        <v>30637.5</v>
      </c>
      <c r="E17" s="43" t="n">
        <f aca="false">C17</f>
        <v>22978.125</v>
      </c>
      <c r="F17" s="43" t="n">
        <f aca="false">C17-B17</f>
        <v>-7659.375</v>
      </c>
      <c r="G17" s="55" t="n">
        <f aca="false">IF(B17=0,"",(C17-B17)/B17)</f>
        <v>-0.25</v>
      </c>
    </row>
    <row r="19" customFormat="false" ht="15" hidden="false" customHeight="true" outlineLevel="0" collapsed="false">
      <c r="A19" s="11" t="s">
        <v>27</v>
      </c>
      <c r="B19" s="46" t="n">
        <f aca="false">SUM(B14:B18)</f>
        <v>379050</v>
      </c>
      <c r="C19" s="46" t="n">
        <f aca="false">SUM(C14:C18)</f>
        <v>1064237.5</v>
      </c>
      <c r="D19" s="46" t="n">
        <f aca="false">SUM(D14:D18)</f>
        <v>379050</v>
      </c>
      <c r="E19" s="46" t="n">
        <f aca="false">SUM(E14:E18)</f>
        <v>1064237.5</v>
      </c>
      <c r="F19" s="46" t="n">
        <f aca="false">SUM(F14:F18)</f>
        <v>685187.5</v>
      </c>
      <c r="G19" s="12" t="n">
        <f aca="false">IF(B19=0,"",(C19-B19)/B19)</f>
        <v>1.80764411027569</v>
      </c>
    </row>
    <row r="21" customFormat="false" ht="15" hidden="false" customHeight="true" outlineLevel="0" collapsed="false">
      <c r="A21" s="4" t="s">
        <v>176</v>
      </c>
      <c r="B21" s="4"/>
      <c r="C21" s="4"/>
      <c r="D21" s="4"/>
      <c r="E21" s="4"/>
      <c r="F21" s="4"/>
      <c r="G21" s="4"/>
    </row>
    <row r="22" customFormat="false" ht="79.5" hidden="false" customHeight="true" outlineLevel="0" collapsed="false">
      <c r="A22" s="56" t="s">
        <v>177</v>
      </c>
      <c r="B22" s="56"/>
      <c r="C22" s="56"/>
      <c r="D22" s="56"/>
      <c r="E22" s="56"/>
      <c r="F22" s="56"/>
      <c r="G22" s="56"/>
    </row>
    <row r="23" customFormat="false" ht="15" hidden="false" customHeight="true" outlineLevel="0" collapsed="false">
      <c r="A23" s="56"/>
      <c r="B23" s="56"/>
      <c r="C23" s="56"/>
      <c r="D23" s="56"/>
      <c r="E23" s="56"/>
      <c r="F23" s="56"/>
      <c r="G23" s="56"/>
    </row>
    <row r="24" customFormat="false" ht="15" hidden="false" customHeight="true" outlineLevel="0" collapsed="false">
      <c r="A24" s="56"/>
      <c r="B24" s="56"/>
      <c r="C24" s="56"/>
      <c r="D24" s="56"/>
      <c r="E24" s="56"/>
      <c r="F24" s="56"/>
      <c r="G24" s="56"/>
    </row>
    <row r="25" customFormat="false" ht="15" hidden="false" customHeight="true" outlineLevel="0" collapsed="false">
      <c r="A25" s="56"/>
      <c r="B25" s="56"/>
      <c r="C25" s="56"/>
      <c r="D25" s="56"/>
      <c r="E25" s="56"/>
      <c r="F25" s="56"/>
      <c r="G25" s="56"/>
    </row>
  </sheetData>
  <mergeCells count="6">
    <mergeCell ref="A1:G1"/>
    <mergeCell ref="A2:G2"/>
    <mergeCell ref="A4:G4"/>
    <mergeCell ref="A11:G11"/>
    <mergeCell ref="A21:G21"/>
    <mergeCell ref="A22: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2"/>
    <col collapsed="false" customWidth="true" hidden="false" outlineLevel="0" max="4" min="4" style="0" width="9"/>
    <col collapsed="false" customWidth="true" hidden="false" outlineLevel="0" max="5" min="5" style="0" width="24"/>
    <col collapsed="false" customWidth="true" hidden="false" outlineLevel="0" max="6" min="6" style="0" width="22"/>
    <col collapsed="false" customWidth="true" hidden="false" outlineLevel="0" max="7" min="7" style="0" width="24"/>
  </cols>
  <sheetData>
    <row r="1" customFormat="false" ht="27.75" hidden="false" customHeight="true" outlineLevel="0" collapsed="false">
      <c r="A1" s="57" t="s">
        <v>178</v>
      </c>
    </row>
    <row r="2" customFormat="false" ht="15.75" hidden="false" customHeight="true" outlineLevel="0" collapsed="false">
      <c r="A2" s="58" t="s">
        <v>179</v>
      </c>
    </row>
    <row r="4" customFormat="false" ht="19.5" hidden="false" customHeight="true" outlineLevel="0" collapsed="false">
      <c r="A4" s="59" t="s">
        <v>180</v>
      </c>
      <c r="B4" s="59"/>
      <c r="C4" s="59"/>
      <c r="D4" s="59"/>
      <c r="E4" s="59"/>
      <c r="F4" s="59"/>
      <c r="G4" s="59"/>
    </row>
    <row r="5" customFormat="false" ht="30" hidden="false" customHeight="true" outlineLevel="0" collapsed="false">
      <c r="A5" s="60" t="s">
        <v>181</v>
      </c>
      <c r="B5" s="60" t="s">
        <v>182</v>
      </c>
      <c r="C5" s="60" t="s">
        <v>183</v>
      </c>
      <c r="D5" s="60" t="s">
        <v>71</v>
      </c>
      <c r="E5" s="60" t="s">
        <v>184</v>
      </c>
      <c r="F5" s="60" t="s">
        <v>185</v>
      </c>
      <c r="G5" s="60" t="s">
        <v>186</v>
      </c>
    </row>
    <row r="6" customFormat="false" ht="36" hidden="false" customHeight="true" outlineLevel="0" collapsed="false">
      <c r="A6" s="61" t="s">
        <v>187</v>
      </c>
      <c r="B6" s="62" t="s">
        <v>188</v>
      </c>
      <c r="C6" s="62" t="s">
        <v>80</v>
      </c>
      <c r="D6" s="63" t="s">
        <v>81</v>
      </c>
      <c r="E6" s="62" t="s">
        <v>189</v>
      </c>
      <c r="F6" s="62" t="s">
        <v>190</v>
      </c>
      <c r="G6" s="62" t="s">
        <v>191</v>
      </c>
    </row>
    <row r="7" customFormat="false" ht="36" hidden="false" customHeight="true" outlineLevel="0" collapsed="false">
      <c r="A7" s="64" t="s">
        <v>192</v>
      </c>
      <c r="B7" s="65" t="s">
        <v>193</v>
      </c>
      <c r="C7" s="65" t="s">
        <v>194</v>
      </c>
      <c r="D7" s="66" t="s">
        <v>104</v>
      </c>
      <c r="E7" s="65" t="s">
        <v>195</v>
      </c>
      <c r="F7" s="65" t="s">
        <v>196</v>
      </c>
      <c r="G7" s="65" t="s">
        <v>197</v>
      </c>
    </row>
    <row r="8" customFormat="false" ht="36" hidden="false" customHeight="true" outlineLevel="0" collapsed="false">
      <c r="A8" s="61" t="s">
        <v>198</v>
      </c>
      <c r="B8" s="62" t="s">
        <v>199</v>
      </c>
      <c r="C8" s="62" t="s">
        <v>194</v>
      </c>
      <c r="D8" s="63" t="s">
        <v>84</v>
      </c>
      <c r="E8" s="62" t="s">
        <v>200</v>
      </c>
      <c r="F8" s="62" t="s">
        <v>201</v>
      </c>
      <c r="G8" s="62" t="s">
        <v>202</v>
      </c>
    </row>
    <row r="9" customFormat="false" ht="36" hidden="false" customHeight="true" outlineLevel="0" collapsed="false">
      <c r="A9" s="64" t="s">
        <v>203</v>
      </c>
      <c r="B9" s="65" t="s">
        <v>204</v>
      </c>
      <c r="C9" s="65" t="s">
        <v>74</v>
      </c>
      <c r="D9" s="66" t="s">
        <v>97</v>
      </c>
      <c r="E9" s="65" t="s">
        <v>205</v>
      </c>
      <c r="F9" s="65" t="s">
        <v>206</v>
      </c>
      <c r="G9" s="65" t="s">
        <v>207</v>
      </c>
    </row>
    <row r="10" customFormat="false" ht="36" hidden="false" customHeight="true" outlineLevel="0" collapsed="false">
      <c r="A10" s="61" t="s">
        <v>208</v>
      </c>
      <c r="B10" s="62" t="s">
        <v>209</v>
      </c>
      <c r="C10" s="62" t="s">
        <v>210</v>
      </c>
      <c r="D10" s="63" t="s">
        <v>78</v>
      </c>
      <c r="E10" s="62" t="s">
        <v>211</v>
      </c>
      <c r="F10" s="62" t="s">
        <v>212</v>
      </c>
      <c r="G10" s="62" t="s">
        <v>213</v>
      </c>
    </row>
    <row r="11" customFormat="false" ht="36" hidden="false" customHeight="true" outlineLevel="0" collapsed="false">
      <c r="A11" s="64" t="s">
        <v>214</v>
      </c>
      <c r="B11" s="65" t="s">
        <v>215</v>
      </c>
      <c r="C11" s="65" t="s">
        <v>194</v>
      </c>
      <c r="D11" s="66" t="s">
        <v>216</v>
      </c>
      <c r="E11" s="65" t="s">
        <v>217</v>
      </c>
      <c r="F11" s="65" t="s">
        <v>218</v>
      </c>
      <c r="G11" s="65" t="s">
        <v>219</v>
      </c>
    </row>
    <row r="12" customFormat="false" ht="13.5" hidden="false" customHeight="true" outlineLevel="0" collapsed="false">
      <c r="B12" s="67" t="s">
        <v>220</v>
      </c>
    </row>
    <row r="14" customFormat="false" ht="19.5" hidden="false" customHeight="true" outlineLevel="0" collapsed="false">
      <c r="A14" s="59" t="s">
        <v>221</v>
      </c>
      <c r="B14" s="59"/>
      <c r="C14" s="59"/>
      <c r="D14" s="59"/>
    </row>
    <row r="15" customFormat="false" ht="15" hidden="false" customHeight="false" outlineLevel="0" collapsed="false">
      <c r="A15" s="68" t="s">
        <v>222</v>
      </c>
      <c r="B15" s="68" t="s">
        <v>223</v>
      </c>
      <c r="C15" s="68" t="s">
        <v>224</v>
      </c>
      <c r="D15" s="68" t="s">
        <v>225</v>
      </c>
      <c r="E15" s="68" t="s">
        <v>226</v>
      </c>
      <c r="F15" s="68" t="s">
        <v>227</v>
      </c>
    </row>
    <row r="16" customFormat="false" ht="15" hidden="false" customHeight="false" outlineLevel="0" collapsed="false">
      <c r="A16" s="69" t="s">
        <v>228</v>
      </c>
      <c r="B16" s="70" t="s">
        <v>229</v>
      </c>
      <c r="C16" s="70" t="s">
        <v>230</v>
      </c>
      <c r="D16" s="70" t="s">
        <v>231</v>
      </c>
      <c r="E16" s="70" t="s">
        <v>232</v>
      </c>
      <c r="F16" s="70" t="s">
        <v>233</v>
      </c>
    </row>
    <row r="17" customFormat="false" ht="15" hidden="false" customHeight="false" outlineLevel="0" collapsed="false">
      <c r="A17" s="67" t="s">
        <v>234</v>
      </c>
    </row>
    <row r="19" customFormat="false" ht="19.5" hidden="false" customHeight="true" outlineLevel="0" collapsed="false">
      <c r="A19" s="71" t="s">
        <v>235</v>
      </c>
      <c r="B19" s="71"/>
      <c r="C19" s="71"/>
      <c r="D19" s="71"/>
    </row>
    <row r="20" customFormat="false" ht="15" hidden="false" customHeight="false" outlineLevel="0" collapsed="false">
      <c r="A20" s="72" t="s">
        <v>236</v>
      </c>
      <c r="B20" s="73" t="s">
        <v>237</v>
      </c>
    </row>
    <row r="21" customFormat="false" ht="15" hidden="false" customHeight="false" outlineLevel="0" collapsed="false">
      <c r="A21" s="72" t="s">
        <v>15</v>
      </c>
      <c r="B21" s="73" t="s">
        <v>238</v>
      </c>
    </row>
    <row r="22" customFormat="false" ht="15" hidden="false" customHeight="false" outlineLevel="0" collapsed="false">
      <c r="A22" s="72" t="s">
        <v>239</v>
      </c>
      <c r="B22" s="73" t="s">
        <v>240</v>
      </c>
    </row>
    <row r="23" customFormat="false" ht="15" hidden="false" customHeight="false" outlineLevel="0" collapsed="false">
      <c r="A23" s="72" t="s">
        <v>241</v>
      </c>
      <c r="B23" s="73" t="s">
        <v>242</v>
      </c>
    </row>
    <row r="24" customFormat="false" ht="15" hidden="false" customHeight="false" outlineLevel="0" collapsed="false">
      <c r="A24" s="72" t="s">
        <v>243</v>
      </c>
      <c r="B24" s="73" t="s">
        <v>244</v>
      </c>
    </row>
    <row r="25" customFormat="false" ht="15" hidden="false" customHeight="false" outlineLevel="0" collapsed="false">
      <c r="A25" s="72" t="s">
        <v>245</v>
      </c>
      <c r="B25" s="73" t="s">
        <v>246</v>
      </c>
    </row>
    <row r="26" customFormat="false" ht="15" hidden="false" customHeight="false" outlineLevel="0" collapsed="false">
      <c r="A26" s="72" t="s">
        <v>247</v>
      </c>
      <c r="B26" s="73" t="s">
        <v>244</v>
      </c>
    </row>
    <row r="27" customFormat="false" ht="15" hidden="false" customHeight="false" outlineLevel="0" collapsed="false">
      <c r="A27" s="72" t="s">
        <v>248</v>
      </c>
      <c r="B27" s="73" t="s">
        <v>249</v>
      </c>
    </row>
    <row r="28" customFormat="false" ht="15" hidden="false" customHeight="false" outlineLevel="0" collapsed="false">
      <c r="A28" s="72" t="s">
        <v>250</v>
      </c>
      <c r="B28" s="73" t="s">
        <v>244</v>
      </c>
    </row>
    <row r="29" customFormat="false" ht="15" hidden="false" customHeight="false" outlineLevel="0" collapsed="false">
      <c r="A29" s="72" t="s">
        <v>251</v>
      </c>
      <c r="B29" s="73" t="s">
        <v>244</v>
      </c>
    </row>
    <row r="30" customFormat="false" ht="15" hidden="false" customHeight="false" outlineLevel="0" collapsed="false">
      <c r="A30" s="74"/>
      <c r="B30" s="73"/>
    </row>
    <row r="31" customFormat="false" ht="15" hidden="false" customHeight="false" outlineLevel="0" collapsed="false">
      <c r="A31" s="72" t="s">
        <v>252</v>
      </c>
      <c r="B31" s="75"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0"/>
    <col collapsed="false" customWidth="true" hidden="false" outlineLevel="0" max="3" min="3" style="0" width="9"/>
    <col collapsed="false" customWidth="true" hidden="false" outlineLevel="0" max="4" min="4" style="0" width="11"/>
    <col collapsed="false" customWidth="true" hidden="false" outlineLevel="0" max="6" min="5" style="0" width="9"/>
    <col collapsed="false" customWidth="true" hidden="false" outlineLevel="0" max="7" min="7" style="0" width="12"/>
    <col collapsed="false" customWidth="true" hidden="false" outlineLevel="0" max="8" min="8" style="0" width="11"/>
    <col collapsed="false" customWidth="true" hidden="false" outlineLevel="0" max="9" min="9" style="0" width="9"/>
    <col collapsed="false" customWidth="true" hidden="false" outlineLevel="0" max="11" min="10" style="0" width="12"/>
    <col collapsed="false" customWidth="true" hidden="false" outlineLevel="0" max="12" min="12" style="0" width="11"/>
    <col collapsed="false" customWidth="true" hidden="false" outlineLevel="0" max="13" min="13" style="0" width="7"/>
  </cols>
  <sheetData>
    <row r="1" customFormat="false" ht="27.75" hidden="false" customHeight="true" outlineLevel="0" collapsed="false">
      <c r="A1" s="57" t="s">
        <v>254</v>
      </c>
    </row>
    <row r="2" customFormat="false" ht="15" hidden="false" customHeight="false" outlineLevel="0" collapsed="false">
      <c r="A2" s="58" t="s">
        <v>255</v>
      </c>
    </row>
    <row r="4" customFormat="false" ht="15" hidden="false" customHeight="false" outlineLevel="0" collapsed="false">
      <c r="A4" s="76" t="s">
        <v>256</v>
      </c>
      <c r="B4" s="77" t="s">
        <v>91</v>
      </c>
      <c r="C4" s="78" t="s">
        <v>257</v>
      </c>
      <c r="D4" s="79" t="s">
        <v>95</v>
      </c>
      <c r="E4" s="78" t="s">
        <v>258</v>
      </c>
      <c r="F4" s="80" t="s">
        <v>99</v>
      </c>
      <c r="G4" s="78" t="s">
        <v>259</v>
      </c>
      <c r="H4" s="81" t="s">
        <v>102</v>
      </c>
      <c r="I4" s="78" t="s">
        <v>260</v>
      </c>
      <c r="J4" s="82" t="s">
        <v>106</v>
      </c>
      <c r="K4" s="78" t="s">
        <v>261</v>
      </c>
    </row>
    <row r="5" customFormat="false" ht="13.5" hidden="false" customHeight="true" outlineLevel="0" collapsed="false">
      <c r="A5" s="67" t="s">
        <v>262</v>
      </c>
    </row>
    <row r="7" customFormat="false" ht="19.5" hidden="false" customHeight="true" outlineLevel="0" collapsed="false">
      <c r="A7" s="59" t="s">
        <v>263</v>
      </c>
      <c r="B7" s="59"/>
      <c r="C7" s="59"/>
      <c r="D7" s="59"/>
      <c r="E7" s="59"/>
      <c r="F7" s="59"/>
      <c r="G7" s="59"/>
      <c r="H7" s="59"/>
      <c r="I7" s="59"/>
      <c r="J7" s="59"/>
      <c r="K7" s="59"/>
      <c r="L7" s="59"/>
      <c r="M7" s="59"/>
      <c r="N7" s="59"/>
    </row>
    <row r="8" customFormat="false" ht="45.75" hidden="false" customHeight="true" outlineLevel="0" collapsed="false">
      <c r="A8" s="83" t="s">
        <v>236</v>
      </c>
      <c r="B8" s="83" t="s">
        <v>264</v>
      </c>
      <c r="C8" s="83" t="s">
        <v>265</v>
      </c>
      <c r="D8" s="83" t="s">
        <v>266</v>
      </c>
      <c r="E8" s="83" t="s">
        <v>267</v>
      </c>
      <c r="F8" s="83" t="s">
        <v>268</v>
      </c>
      <c r="G8" s="83" t="s">
        <v>269</v>
      </c>
      <c r="H8" s="83" t="s">
        <v>270</v>
      </c>
      <c r="I8" s="83" t="s">
        <v>271</v>
      </c>
      <c r="J8" s="83" t="s">
        <v>272</v>
      </c>
      <c r="K8" s="83" t="s">
        <v>87</v>
      </c>
      <c r="L8" s="83" t="s">
        <v>273</v>
      </c>
      <c r="M8" s="83" t="s">
        <v>274</v>
      </c>
    </row>
    <row r="9" customFormat="false" ht="19.5" hidden="false" customHeight="true" outlineLevel="0" collapsed="false">
      <c r="A9" s="84" t="s">
        <v>237</v>
      </c>
      <c r="B9" s="84" t="s">
        <v>238</v>
      </c>
      <c r="C9" s="85" t="n">
        <v>14</v>
      </c>
      <c r="D9" s="85" t="n">
        <v>4.8</v>
      </c>
      <c r="E9" s="85" t="n">
        <v>4.7</v>
      </c>
      <c r="F9" s="85" t="n">
        <v>4.9</v>
      </c>
      <c r="G9" s="86" t="n">
        <v>86</v>
      </c>
      <c r="H9" s="86" t="n">
        <v>93</v>
      </c>
      <c r="I9" s="85" t="n">
        <v>4.8</v>
      </c>
      <c r="J9" s="70" t="n">
        <f aca="false">ROUND(G9*0.3 + (AVERAGE(E9,F9,I9)-1)/4*100*0.25 + (D9-1)/4*100*0.2 + H9*0.25, 1)</f>
        <v>91.8</v>
      </c>
      <c r="K9" s="87" t="str">
        <f aca="false">IF(J9="","",IF(J9&gt;=85,"Platinum",IF(J9&gt;=70,"Gold",IF(J9&gt;=55,"Silver",IF(J9&gt;=40,"Bronze","Suspended")))))</f>
        <v>Platinum</v>
      </c>
      <c r="L9" s="85" t="n">
        <v>78</v>
      </c>
      <c r="M9" s="88" t="str">
        <f aca="false">IF(OR(J9="",L9=""),"—",IF(J9&gt;L9,"▲",IF(J9&lt;L9,"▼","—")))</f>
        <v>▲</v>
      </c>
    </row>
    <row r="10" customFormat="false" ht="19.5" hidden="false" customHeight="true" outlineLevel="0" collapsed="false">
      <c r="A10" s="89" t="s">
        <v>275</v>
      </c>
      <c r="B10" s="89" t="s">
        <v>276</v>
      </c>
      <c r="C10" s="90" t="n">
        <v>9</v>
      </c>
      <c r="D10" s="90" t="n">
        <v>4.3</v>
      </c>
      <c r="E10" s="90" t="n">
        <v>4.5</v>
      </c>
      <c r="F10" s="90" t="n">
        <v>4.4</v>
      </c>
      <c r="G10" s="91" t="n">
        <v>71</v>
      </c>
      <c r="H10" s="91" t="n">
        <v>78</v>
      </c>
      <c r="I10" s="90" t="n">
        <v>4.3</v>
      </c>
      <c r="J10" s="70" t="n">
        <f aca="false">ROUND(G10*0.3 + (AVERAGE(E10,F10,I10)-1)/4*100*0.25 + (D10-1)/4*100*0.2 + H10*0.25, 1)</f>
        <v>78.6</v>
      </c>
      <c r="K10" s="92" t="str">
        <f aca="false">IF(J10="","",IF(J10&gt;=85,"Platinum",IF(J10&gt;=70,"Gold",IF(J10&gt;=55,"Silver",IF(J10&gt;=40,"Bronze","Suspended")))))</f>
        <v>Gold</v>
      </c>
      <c r="L10" s="90" t="n">
        <v>69.5</v>
      </c>
      <c r="M10" s="93" t="str">
        <f aca="false">IF(OR(J10="",L10=""),"—",IF(J10&gt;L10,"▲",IF(J10&lt;L10,"▼","—")))</f>
        <v>▲</v>
      </c>
    </row>
    <row r="11" customFormat="false" ht="19.5" hidden="false" customHeight="true" outlineLevel="0" collapsed="false">
      <c r="A11" s="84" t="s">
        <v>277</v>
      </c>
      <c r="B11" s="84" t="s">
        <v>278</v>
      </c>
      <c r="C11" s="85" t="n">
        <v>22</v>
      </c>
      <c r="D11" s="85" t="n">
        <v>4.6</v>
      </c>
      <c r="E11" s="85" t="n">
        <v>4.8</v>
      </c>
      <c r="F11" s="85" t="n">
        <v>4.7</v>
      </c>
      <c r="G11" s="86" t="n">
        <v>82</v>
      </c>
      <c r="H11" s="86" t="n">
        <v>88</v>
      </c>
      <c r="I11" s="85" t="n">
        <v>4.7</v>
      </c>
      <c r="J11" s="70" t="n">
        <f aca="false">ROUND(G11*0.3 + (AVERAGE(E11,F11,I11)-1)/4*100*0.25 + (D11-1)/4*100*0.2 + H11*0.25, 1)</f>
        <v>87.9</v>
      </c>
      <c r="K11" s="87" t="str">
        <f aca="false">IF(J11="","",IF(J11&gt;=85,"Platinum",IF(J11&gt;=70,"Gold",IF(J11&gt;=55,"Silver",IF(J11&gt;=40,"Bronze","Suspended")))))</f>
        <v>Platinum</v>
      </c>
      <c r="L11" s="85" t="n">
        <v>80</v>
      </c>
      <c r="M11" s="88" t="str">
        <f aca="false">IF(OR(J11="",L11=""),"—",IF(J11&gt;L11,"▲",IF(J11&lt;L11,"▼","—")))</f>
        <v>▲</v>
      </c>
    </row>
    <row r="12" customFormat="false" ht="19.5" hidden="false" customHeight="true" outlineLevel="0" collapsed="false">
      <c r="A12" s="89" t="s">
        <v>279</v>
      </c>
      <c r="B12" s="89" t="s">
        <v>23</v>
      </c>
      <c r="C12" s="90" t="n">
        <v>7</v>
      </c>
      <c r="D12" s="90" t="n">
        <v>3.9</v>
      </c>
      <c r="E12" s="90" t="n">
        <v>4.2</v>
      </c>
      <c r="F12" s="90" t="n">
        <v>4.1</v>
      </c>
      <c r="G12" s="91" t="n">
        <v>57</v>
      </c>
      <c r="H12" s="91" t="n">
        <v>71</v>
      </c>
      <c r="I12" s="90" t="n">
        <v>4</v>
      </c>
      <c r="J12" s="70" t="n">
        <f aca="false">ROUND(G12*0.3 + (AVERAGE(E12,F12,I12)-1)/4*100*0.25 + (D12-1)/4*100*0.2 + H12*0.25, 1)</f>
        <v>68.7</v>
      </c>
      <c r="K12" s="92" t="str">
        <f aca="false">IF(J12="","",IF(J12&gt;=85,"Platinum",IF(J12&gt;=70,"Gold",IF(J12&gt;=55,"Silver",IF(J12&gt;=40,"Bronze","Suspended")))))</f>
        <v>Silver</v>
      </c>
      <c r="L12" s="90" t="n">
        <v>62</v>
      </c>
      <c r="M12" s="93" t="str">
        <f aca="false">IF(OR(J12="",L12=""),"—",IF(J12&gt;L12,"▲",IF(J12&lt;L12,"▼","—")))</f>
        <v>▲</v>
      </c>
    </row>
    <row r="13" customFormat="false" ht="19.5" hidden="false" customHeight="true" outlineLevel="0" collapsed="false">
      <c r="A13" s="84" t="s">
        <v>280</v>
      </c>
      <c r="B13" s="84" t="s">
        <v>281</v>
      </c>
      <c r="C13" s="85" t="n">
        <v>11</v>
      </c>
      <c r="D13" s="85" t="n">
        <v>4.1</v>
      </c>
      <c r="E13" s="85" t="n">
        <v>4</v>
      </c>
      <c r="F13" s="85" t="n">
        <v>4.3</v>
      </c>
      <c r="G13" s="86" t="n">
        <v>73</v>
      </c>
      <c r="H13" s="86" t="n">
        <v>75</v>
      </c>
      <c r="I13" s="85" t="n">
        <v>4.1</v>
      </c>
      <c r="J13" s="70" t="n">
        <f aca="false">ROUND(G13*0.3 + (AVERAGE(E13,F13,I13)-1)/4*100*0.25 + (D13-1)/4*100*0.2 + H13*0.25, 1)</f>
        <v>75.7</v>
      </c>
      <c r="K13" s="87" t="str">
        <f aca="false">IF(J13="","",IF(J13&gt;=85,"Platinum",IF(J13&gt;=70,"Gold",IF(J13&gt;=55,"Silver",IF(J13&gt;=40,"Bronze","Suspended")))))</f>
        <v>Gold</v>
      </c>
      <c r="L13" s="85" t="n">
        <v>70</v>
      </c>
      <c r="M13" s="88" t="str">
        <f aca="false">IF(OR(J13="",L13=""),"—",IF(J13&gt;L13,"▲",IF(J13&lt;L13,"▼","—")))</f>
        <v>▲</v>
      </c>
    </row>
    <row r="14" customFormat="false" ht="19.5" hidden="false" customHeight="true" outlineLevel="0" collapsed="false">
      <c r="A14" s="94"/>
      <c r="B14" s="94"/>
      <c r="C14" s="94"/>
      <c r="D14" s="94"/>
      <c r="E14" s="94"/>
      <c r="F14" s="94"/>
      <c r="G14" s="95"/>
      <c r="H14" s="95"/>
      <c r="I14" s="94"/>
      <c r="J14" s="96" t="str">
        <f aca="false">IFERROR(IF(D14="","",ROUND(G14*0.3 + (AVERAGE(E14,F14,I14)-1)/4*100*0.25 + (D14-1)/4*100*0.2 + H14*0.25,1)),"")</f>
        <v/>
      </c>
      <c r="K14" s="96" t="str">
        <f aca="false">IFERROR(IF(J14="","",IF(J14&gt;=85,"Platinum",IF(J14&gt;=70,"Gold",IF(J14&gt;=55,"Silver",IF(J14&gt;=40,"Bronze","Suspended")))))," ")</f>
        <v/>
      </c>
      <c r="L14" s="94"/>
      <c r="M14" s="97" t="str">
        <f aca="false">IFERROR(IF(OR(J14="",L14=""),"—",IF(J14&gt;L14,"▲",IF(J14&lt;L14,"▼","—"))),"—")</f>
        <v>—</v>
      </c>
    </row>
    <row r="15" customFormat="false" ht="19.5" hidden="false" customHeight="true" outlineLevel="0" collapsed="false">
      <c r="A15" s="94"/>
      <c r="B15" s="94"/>
      <c r="C15" s="94"/>
      <c r="D15" s="94"/>
      <c r="E15" s="94"/>
      <c r="F15" s="94"/>
      <c r="G15" s="95"/>
      <c r="H15" s="95"/>
      <c r="I15" s="94"/>
      <c r="J15" s="96" t="str">
        <f aca="false">IFERROR(IF(D15="","",ROUND(G15*0.3 + (AVERAGE(E15,F15,I15)-1)/4*100*0.25 + (D15-1)/4*100*0.2 + H15*0.25,1)),"")</f>
        <v/>
      </c>
      <c r="K15" s="96" t="str">
        <f aca="false">IFERROR(IF(J15="","",IF(J15&gt;=85,"Platinum",IF(J15&gt;=70,"Gold",IF(J15&gt;=55,"Silver",IF(J15&gt;=40,"Bronze","Suspended")))))," ")</f>
        <v/>
      </c>
      <c r="L15" s="94"/>
      <c r="M15" s="97" t="str">
        <f aca="false">IFERROR(IF(OR(J15="",L15=""),"—",IF(J15&gt;L15,"▲",IF(J15&lt;L15,"▼","—"))),"—")</f>
        <v>—</v>
      </c>
    </row>
    <row r="16" customFormat="false" ht="19.5" hidden="false" customHeight="true" outlineLevel="0" collapsed="false">
      <c r="A16" s="94"/>
      <c r="B16" s="94"/>
      <c r="C16" s="94"/>
      <c r="D16" s="94"/>
      <c r="E16" s="94"/>
      <c r="F16" s="94"/>
      <c r="G16" s="95"/>
      <c r="H16" s="95"/>
      <c r="I16" s="94"/>
      <c r="J16" s="96" t="str">
        <f aca="false">IFERROR(IF(D16="","",ROUND(G16*0.3 + (AVERAGE(E16,F16,I16)-1)/4*100*0.25 + (D16-1)/4*100*0.2 + H16*0.25,1)),"")</f>
        <v/>
      </c>
      <c r="K16" s="96" t="str">
        <f aca="false">IFERROR(IF(J16="","",IF(J16&gt;=85,"Platinum",IF(J16&gt;=70,"Gold",IF(J16&gt;=55,"Silver",IF(J16&gt;=40,"Bronze","Suspended")))))," ")</f>
        <v/>
      </c>
      <c r="L16" s="94"/>
      <c r="M16" s="97" t="str">
        <f aca="false">IFERROR(IF(OR(J16="",L16=""),"—",IF(J16&gt;L16,"▲",IF(J16&lt;L16,"▼","—"))),"—")</f>
        <v>—</v>
      </c>
    </row>
    <row r="17" customFormat="false" ht="19.5" hidden="false" customHeight="true" outlineLevel="0" collapsed="false">
      <c r="A17" s="94"/>
      <c r="B17" s="94"/>
      <c r="C17" s="94"/>
      <c r="D17" s="94"/>
      <c r="E17" s="94"/>
      <c r="F17" s="94"/>
      <c r="G17" s="95"/>
      <c r="H17" s="95"/>
      <c r="I17" s="94"/>
      <c r="J17" s="96" t="str">
        <f aca="false">IFERROR(IF(D17="","",ROUND(G17*0.3 + (AVERAGE(E17,F17,I17)-1)/4*100*0.25 + (D17-1)/4*100*0.2 + H17*0.25,1)),"")</f>
        <v/>
      </c>
      <c r="K17" s="96" t="str">
        <f aca="false">IFERROR(IF(J17="","",IF(J17&gt;=85,"Platinum",IF(J17&gt;=70,"Gold",IF(J17&gt;=55,"Silver",IF(J17&gt;=40,"Bronze","Suspended")))))," ")</f>
        <v/>
      </c>
      <c r="L17" s="94"/>
      <c r="M17" s="97" t="str">
        <f aca="false">IFERROR(IF(OR(J17="",L17=""),"—",IF(J17&gt;L17,"▲",IF(J17&lt;L17,"▼","—"))),"—")</f>
        <v>—</v>
      </c>
    </row>
    <row r="18" customFormat="false" ht="19.5" hidden="false" customHeight="true" outlineLevel="0" collapsed="false">
      <c r="A18" s="94"/>
      <c r="B18" s="94"/>
      <c r="C18" s="94"/>
      <c r="D18" s="94"/>
      <c r="E18" s="94"/>
      <c r="F18" s="94"/>
      <c r="G18" s="95"/>
      <c r="H18" s="95"/>
      <c r="I18" s="94"/>
      <c r="J18" s="96" t="str">
        <f aca="false">IFERROR(IF(D18="","",ROUND(G18*0.3 + (AVERAGE(E18,F18,I18)-1)/4*100*0.25 + (D18-1)/4*100*0.2 + H18*0.25,1)),"")</f>
        <v/>
      </c>
      <c r="K18" s="96" t="str">
        <f aca="false">IFERROR(IF(J18="","",IF(J18&gt;=85,"Platinum",IF(J18&gt;=70,"Gold",IF(J18&gt;=55,"Silver",IF(J18&gt;=40,"Bronze","Suspended")))))," ")</f>
        <v/>
      </c>
      <c r="L18" s="94"/>
      <c r="M18" s="97" t="str">
        <f aca="false">IFERROR(IF(OR(J18="",L18=""),"—",IF(J18&gt;L18,"▲",IF(J18&lt;L18,"▼","—"))),"—")</f>
        <v>—</v>
      </c>
    </row>
    <row r="20" customFormat="false" ht="13.5" hidden="false" customHeight="true" outlineLevel="0" collapsed="false"/>
    <row r="21" customFormat="false" ht="15" hidden="false" customHeight="false" outlineLevel="0" collapsed="false">
      <c r="A21" s="98" t="s">
        <v>282</v>
      </c>
    </row>
    <row r="22" customFormat="false" ht="27.75" hidden="false" customHeight="true" outlineLevel="0" collapsed="false">
      <c r="A22" s="99" t="s">
        <v>283</v>
      </c>
      <c r="B22" s="100" t="s">
        <v>284</v>
      </c>
    </row>
    <row r="23" customFormat="false" ht="27.75" hidden="false" customHeight="true" outlineLevel="0" collapsed="false">
      <c r="A23" s="99" t="s">
        <v>285</v>
      </c>
      <c r="B23" s="100" t="s">
        <v>286</v>
      </c>
    </row>
    <row r="24" customFormat="false" ht="27.75" hidden="false" customHeight="true" outlineLevel="0" collapsed="false">
      <c r="A24" s="99" t="s">
        <v>287</v>
      </c>
      <c r="B24" s="100" t="s">
        <v>288</v>
      </c>
    </row>
    <row r="25" customFormat="false" ht="27.75" hidden="false" customHeight="true" outlineLevel="0" collapsed="false">
      <c r="A25" s="99" t="s">
        <v>289</v>
      </c>
      <c r="B25" s="100" t="s">
        <v>290</v>
      </c>
    </row>
  </sheetData>
  <conditionalFormatting sqref="K9:K18">
    <cfRule type="expression" priority="2" aboveAverage="0" equalAverage="0" bottom="0" percent="0" rank="0" text="" dxfId="0">
      <formula>EXACT($K9,"Platinum")</formula>
    </cfRule>
    <cfRule type="expression" priority="3" aboveAverage="0" equalAverage="0" bottom="0" percent="0" rank="0" text="" dxfId="1">
      <formula>EXACT($K9,"Gold")</formula>
    </cfRule>
    <cfRule type="expression" priority="4" aboveAverage="0" equalAverage="0" bottom="0" percent="0" rank="0" text="" dxfId="2">
      <formula>EXACT($K9,"Silver")</formula>
    </cfRule>
    <cfRule type="expression" priority="5" aboveAverage="0" equalAverage="0" bottom="0" percent="0" rank="0" text="" dxfId="3">
      <formula>EXACT($K9,"Bronze")</formula>
    </cfRule>
    <cfRule type="expression" priority="6" aboveAverage="0" equalAverage="0" bottom="0" percent="0" rank="0" text="" dxfId="4">
      <formula>EXACT($K9,"Suspended")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2026-05-19T20:42:18Z</dcterms:created>
  <dc:creator>openpyxl</dc:creator>
  <dc:description/>
  <dc:language>en-US</dc:language>
  <cp:lastModifiedBy/>
  <dcterms:modified xsi:type="dcterms:W3CDTF">2026-05-19T21:05:06Z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