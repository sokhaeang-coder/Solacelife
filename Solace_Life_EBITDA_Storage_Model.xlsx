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&amp; Revenue" sheetId="2" state="visible" r:id="rId4"/>
    <sheet name="Storage &amp; COGS" sheetId="3" state="visible" r:id="rId5"/>
    <sheet name="Unit Economics" sheetId="4" state="visible" r:id="rId6"/>
    <sheet name="EBITDA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<sst xmlns="http://schemas.openxmlformats.org/spreadsheetml/2006/main" count="230" uniqueCount="216">
  <si>
    <t xml:space="preserve">Solace Life — EBITDA &amp; Storage Cost Model  |  Assumptions</t>
  </si>
  <si>
    <t xml:space="preserve">  Blue cells = inputs you can change</t>
  </si>
  <si>
    <t xml:space="preserve">A  ·  USER GROWTH  (from Investor Model)</t>
  </si>
  <si>
    <t xml:space="preserve">Month 6 paid users</t>
  </si>
  <si>
    <t xml:space="preserve">Source: Investor model — M6 milestone</t>
  </si>
  <si>
    <t xml:space="preserve">Year 1 paid users (M12)</t>
  </si>
  <si>
    <t xml:space="preserve">Source: Investor model — Y1 milestone</t>
  </si>
  <si>
    <t xml:space="preserve">Year 2 paid users (M24)</t>
  </si>
  <si>
    <t xml:space="preserve">Source: Investor model — Y2 milestone</t>
  </si>
  <si>
    <t xml:space="preserve">Year 3 paid users (M36)</t>
  </si>
  <si>
    <t xml:space="preserve">Conservative scale target</t>
  </si>
  <si>
    <t xml:space="preserve">Free-to-paid conversion rate</t>
  </si>
  <si>
    <t xml:space="preserve">20% of total users pay</t>
  </si>
  <si>
    <t xml:space="preserve">Annual subscriber renewal rate</t>
  </si>
  <si>
    <t xml:space="preserve">82% retention Y2+</t>
  </si>
  <si>
    <t xml:space="preserve">B  ·  PRICING</t>
  </si>
  <si>
    <t xml:space="preserve">Annual plan price (USD)</t>
  </si>
  <si>
    <t xml:space="preserve">Current: $49/year</t>
  </si>
  <si>
    <t xml:space="preserve">Lifetime plan price (USD)</t>
  </si>
  <si>
    <t xml:space="preserve">Current: $149 one-time</t>
  </si>
  <si>
    <t xml:space="preserve">Annual plan mix — Year 1</t>
  </si>
  <si>
    <t xml:space="preserve">40% of new paid → annual (60% lifetime promo)</t>
  </si>
  <si>
    <t xml:space="preserve">Annual plan mix — Year 2</t>
  </si>
  <si>
    <t xml:space="preserve">Lifetime promo winds down</t>
  </si>
  <si>
    <t xml:space="preserve">Annual plan mix — Year 3</t>
  </si>
  <si>
    <t xml:space="preserve">Mostly recurring annual base</t>
  </si>
  <si>
    <t xml:space="preserve">Platform fee — Year 1 (App Store/Google)</t>
  </si>
  <si>
    <t xml:space="preserve">30% on new annual &amp; all lifetime</t>
  </si>
  <si>
    <t xml:space="preserve">Platform fee — Year 2+ annual (&gt;1yr sub)</t>
  </si>
  <si>
    <t xml:space="preserve">Apple/Google small business / 1yr+ rule</t>
  </si>
  <si>
    <t xml:space="preserve">Platform fee — Lifetime (all years)</t>
  </si>
  <si>
    <t xml:space="preserve">IAP — always 30%, no sub discount</t>
  </si>
  <si>
    <t xml:space="preserve">C  ·  STORAGE CAPS  (recommended — critical for unit economics)</t>
  </si>
  <si>
    <t xml:space="preserve">Free tier storage cap</t>
  </si>
  <si>
    <t xml:space="preserve">2 GB hard cap per free user</t>
  </si>
  <si>
    <t xml:space="preserve">Annual plan storage cap</t>
  </si>
  <si>
    <t xml:space="preserve">15 GB — generous for docs + moderate media</t>
  </si>
  <si>
    <t xml:space="preserve">Lifetime plan storage cap</t>
  </si>
  <si>
    <t xml:space="preserve">⚠️ CRITICAL — see Unit Economics tab for rationale</t>
  </si>
  <si>
    <t xml:space="preserve">D  ·  AVERAGE STORAGE PER USER  (at year-end, within cap)</t>
  </si>
  <si>
    <t xml:space="preserve">Free user avg storage used</t>
  </si>
  <si>
    <t xml:space="preserve">Light usage — mostly docs and a few photos</t>
  </si>
  <si>
    <t xml:space="preserve">Annual user avg storage used</t>
  </si>
  <si>
    <t xml:space="preserve">Weighted: 60% casual 3GB, 30% active 8GB, 10% power 14GB</t>
  </si>
  <si>
    <t xml:space="preserve">Lifetime user avg storage used</t>
  </si>
  <si>
    <t xml:space="preserve">Slightly higher — power users skew toward lifetime</t>
  </si>
  <si>
    <t xml:space="preserve">Cumulative storage growth rate Y2</t>
  </si>
  <si>
    <t xml:space="preserve">Existing users add more data each year</t>
  </si>
  <si>
    <t xml:space="preserve">Cumulative storage growth rate Y3</t>
  </si>
  <si>
    <t xml:space="preserve">Growth decelerates as users near caps</t>
  </si>
  <si>
    <t xml:space="preserve">E  ·  INFRASTRUCTURE PRICING  (Cloudflare R2 — recommended)</t>
  </si>
  <si>
    <t xml:space="preserve">R2 storage cost per GB/month</t>
  </si>
  <si>
    <t xml:space="preserve">Cloudflare R2 — $0.015/GB/mo</t>
  </si>
  <si>
    <t xml:space="preserve">R2 egress cost per GB</t>
  </si>
  <si>
    <t xml:space="preserve">R2 egress is FREE — key advantage vs AWS ($0.09/GB)</t>
  </si>
  <si>
    <t xml:space="preserve">AWS S3 storage (for comparison)</t>
  </si>
  <si>
    <t xml:space="preserve">AWS S3 standard — reference only</t>
  </si>
  <si>
    <t xml:space="preserve">AWS egress cost per GB (for comparison)</t>
  </si>
  <si>
    <t xml:space="preserve">AWS data transfer out — reference only</t>
  </si>
  <si>
    <t xml:space="preserve">Supabase Pro (DB/Auth/Functions)</t>
  </si>
  <si>
    <t xml:space="preserve">Per month — covers up to ~10K users</t>
  </si>
  <si>
    <t xml:space="preserve">Supabase Team (DB/Auth/Functions)</t>
  </si>
  <si>
    <t xml:space="preserve">Per month — needed at scale (&gt;10K users)</t>
  </si>
  <si>
    <t xml:space="preserve">Email (Resend) — Y1 annual</t>
  </si>
  <si>
    <t xml:space="preserve">Pro plan $20/mo</t>
  </si>
  <si>
    <t xml:space="preserve">Email (Resend) — Y2 annual</t>
  </si>
  <si>
    <t xml:space="preserve">Scale $89/mo</t>
  </si>
  <si>
    <t xml:space="preserve">Email (Resend) — Y3 annual</t>
  </si>
  <si>
    <t xml:space="preserve">Business ~$300/mo</t>
  </si>
  <si>
    <t xml:space="preserve">Netlify hosting — Y1/Y2 annual</t>
  </si>
  <si>
    <t xml:space="preserve">Pro $19/mo</t>
  </si>
  <si>
    <t xml:space="preserve">Netlify hosting — Y3 annual</t>
  </si>
  <si>
    <t xml:space="preserve">Business $99/mo</t>
  </si>
  <si>
    <t xml:space="preserve">RevenueCat (sub management)</t>
  </si>
  <si>
    <t xml:space="preserve">1% of net revenue after $2.5K MRR threshold</t>
  </si>
  <si>
    <t xml:space="preserve">Misc tools &amp; dev accounts (annual)</t>
  </si>
  <si>
    <t xml:space="preserve">App store accounts, Sentry, etc.</t>
  </si>
  <si>
    <t xml:space="preserve">F  ·  OPERATING EXPENSES</t>
  </si>
  <si>
    <t xml:space="preserve">Founder compensation — Year 1</t>
  </si>
  <si>
    <t xml:space="preserve">Modest founder salary; adjust to actual</t>
  </si>
  <si>
    <t xml:space="preserve">Founder + team compensation — Year 2</t>
  </si>
  <si>
    <t xml:space="preserve">Founder + part-time contractor</t>
  </si>
  <si>
    <t xml:space="preserve">Founder + team compensation — Year 3</t>
  </si>
  <si>
    <t xml:space="preserve">Founder + 1 FTE hire</t>
  </si>
  <si>
    <t xml:space="preserve">Marketing spend — Year 1</t>
  </si>
  <si>
    <t xml:space="preserve">App Store ads, social, minimal</t>
  </si>
  <si>
    <t xml:space="preserve">Marketing spend — Year 2</t>
  </si>
  <si>
    <t xml:space="preserve">Growth experiments, referral program</t>
  </si>
  <si>
    <t xml:space="preserve">Marketing spend — Year 3</t>
  </si>
  <si>
    <t xml:space="preserve">Scaled digital + partner channel</t>
  </si>
  <si>
    <t xml:space="preserve">Solace Life — User &amp; Revenue Model  |  3-Year Projection</t>
  </si>
  <si>
    <t xml:space="preserve">Year 1 (2026)</t>
  </si>
  <si>
    <t xml:space="preserve">Year 2 (2027)</t>
  </si>
  <si>
    <t xml:space="preserve">Year 3 (2028)</t>
  </si>
  <si>
    <t xml:space="preserve">USER BASE</t>
  </si>
  <si>
    <t xml:space="preserve">Total paid users (period end)</t>
  </si>
  <si>
    <t xml:space="preserve">Total free users (implied)</t>
  </si>
  <si>
    <t xml:space="preserve">Total app users (paid + free)</t>
  </si>
  <si>
    <t xml:space="preserve">NEW PAID USER MIX</t>
  </si>
  <si>
    <t xml:space="preserve">New paid users in period</t>
  </si>
  <si>
    <t xml:space="preserve">  → New Annual subscribers</t>
  </si>
  <si>
    <t xml:space="preserve">  → New Lifetime purchases</t>
  </si>
  <si>
    <t xml:space="preserve">Annual renewals (from prior year base)</t>
  </si>
  <si>
    <t xml:space="preserve">GROSS REVENUE</t>
  </si>
  <si>
    <t xml:space="preserve">Annual plan — new subscriptions</t>
  </si>
  <si>
    <t xml:space="preserve">Lifetime purchases</t>
  </si>
  <si>
    <t xml:space="preserve">Annual renewals</t>
  </si>
  <si>
    <t xml:space="preserve">Gross Revenue</t>
  </si>
  <si>
    <t xml:space="preserve">PLATFORM FEES  (App Store / Google Play)</t>
  </si>
  <si>
    <t xml:space="preserve">Fee on annual new — Year 1 rate (30%)</t>
  </si>
  <si>
    <t xml:space="preserve">Fee on lifetime purchases (always 30%)</t>
  </si>
  <si>
    <t xml:space="preserve">Fee on annual renewals</t>
  </si>
  <si>
    <t xml:space="preserve">Total Platform Fees</t>
  </si>
  <si>
    <t xml:space="preserve">NET REVENUE</t>
  </si>
  <si>
    <t xml:space="preserve">Net Revenue (after platform fees)</t>
  </si>
  <si>
    <t xml:space="preserve">Effective net revenue margin %</t>
  </si>
  <si>
    <t xml:space="preserve">Solace Life — Storage Deep Dive &amp; COGS  |  3-Year Projection</t>
  </si>
  <si>
    <t xml:space="preserve">TOTAL USERS AT PERIOD END</t>
  </si>
  <si>
    <t xml:space="preserve">Total paid users</t>
  </si>
  <si>
    <t xml:space="preserve">    Annual paid users (cumulative)</t>
  </si>
  <si>
    <t xml:space="preserve">    Lifetime users (cumulative — never leave)</t>
  </si>
  <si>
    <t xml:space="preserve">Free users</t>
  </si>
  <si>
    <t xml:space="preserve">CUMULATIVE STORAGE FOOTPRINT  (at year-end)</t>
  </si>
  <si>
    <t xml:space="preserve">Free user storage (GB)</t>
  </si>
  <si>
    <t xml:space="preserve">Annual subscriber storage (GB)</t>
  </si>
  <si>
    <t xml:space="preserve">Lifetime user storage (GB) — CUMULATIVE</t>
  </si>
  <si>
    <t xml:space="preserve">TOTAL STORAGE (GB)</t>
  </si>
  <si>
    <t xml:space="preserve">TOTAL STORAGE (TB)</t>
  </si>
  <si>
    <t xml:space="preserve">⚠️  POWER USER / UNCAPPED RISK SCENARIO  (without storage caps)</t>
  </si>
  <si>
    <t xml:space="preserve">Power users (5% of paid, bulk uploaders)</t>
  </si>
  <si>
    <t xml:space="preserve">Power user avg uncapped storage (GB)</t>
  </si>
  <si>
    <t xml:space="preserve">Power user incremental storage (TB)</t>
  </si>
  <si>
    <t xml:space="preserve">Incremental storage cost if UNCAPPED (R2)</t>
  </si>
  <si>
    <t xml:space="preserve">INFRASTRUCTURE COSTS  (COGS)</t>
  </si>
  <si>
    <t xml:space="preserve">R2 Media Storage ($ / year)</t>
  </si>
  <si>
    <t xml:space="preserve">R2 Egress / Bandwidth</t>
  </si>
  <si>
    <t xml:space="preserve">Supabase (DB, Auth, Functions)</t>
  </si>
  <si>
    <t xml:space="preserve">Email service (Resend)</t>
  </si>
  <si>
    <t xml:space="preserve">Netlify hosting</t>
  </si>
  <si>
    <t xml:space="preserve">RevenueCat (subscription management)</t>
  </si>
  <si>
    <t xml:space="preserve">Misc tools &amp; dev accounts</t>
  </si>
  <si>
    <t xml:space="preserve">TOTAL COGS (Infrastructure)</t>
  </si>
  <si>
    <t xml:space="preserve">GROSS PROFIT ANALYSIS</t>
  </si>
  <si>
    <t xml:space="preserve">Net Revenue</t>
  </si>
  <si>
    <t xml:space="preserve">Less: Total COGS</t>
  </si>
  <si>
    <t xml:space="preserve">Gross Profit</t>
  </si>
  <si>
    <t xml:space="preserve">Gross Margin %</t>
  </si>
  <si>
    <t xml:space="preserve">  ↑ AWS egress cost vs R2 $0 — annual savings by using R2</t>
  </si>
  <si>
    <t xml:space="preserve">N/A</t>
  </si>
  <si>
    <t xml:space="preserve">Solace Life — Unit Economics  |  Per-User Lifetime Value vs. Cost</t>
  </si>
  <si>
    <t xml:space="preserve">Free Tier</t>
  </si>
  <si>
    <t xml:space="preserve">Annual ($49/yr)</t>
  </si>
  <si>
    <t xml:space="preserve">Lifetime ($149)</t>
  </si>
  <si>
    <t xml:space="preserve">0 revenue</t>
  </si>
  <si>
    <t xml:space="preserve">$49/yr recurring</t>
  </si>
  <si>
    <t xml:space="preserve">$149 one-time</t>
  </si>
  <si>
    <t xml:space="preserve">REVENUE PER USER</t>
  </si>
  <si>
    <t xml:space="preserve">Gross revenue (year 1)</t>
  </si>
  <si>
    <t xml:space="preserve">Platform fee</t>
  </si>
  <si>
    <t xml:space="preserve">Net revenue (year 1)</t>
  </si>
  <si>
    <t xml:space="preserve">Net revenue (year 2 renewal)</t>
  </si>
  <si>
    <t xml:space="preserve">Net revenue (year 3 renewal)</t>
  </si>
  <si>
    <t xml:space="preserve">3-Year net revenue total</t>
  </si>
  <si>
    <t xml:space="preserve">STORAGE COST PER USER  (Cloudflare R2 @ $0.015/GB/month)</t>
  </si>
  <si>
    <t xml:space="preserve">Storage cap (GB)</t>
  </si>
  <si>
    <t xml:space="preserve">Average storage used (GB)</t>
  </si>
  <si>
    <t xml:space="preserve">Storage cost — Year 1 (full year)</t>
  </si>
  <si>
    <t xml:space="preserve">Storage cost — Year 2 (growing +60%)</t>
  </si>
  <si>
    <t xml:space="preserve">Storage cost — Year 3 (growing +50%)</t>
  </si>
  <si>
    <t xml:space="preserve">3-Year storage cost total</t>
  </si>
  <si>
    <t xml:space="preserve">CONTRIBUTION MARGIN PER USER  (3-Year)</t>
  </si>
  <si>
    <t xml:space="preserve">3-Year net revenue</t>
  </si>
  <si>
    <t xml:space="preserve">3-Year storage cost</t>
  </si>
  <si>
    <t xml:space="preserve">3-Year contribution margin</t>
  </si>
  <si>
    <t xml:space="preserve">⚠️  LIFETIME PLAN: BREAK-EVEN ANALYSIS  (years of storage until net revenue = 0)</t>
  </si>
  <si>
    <t xml:space="preserve">Net revenue from lifetime ($, one-time)</t>
  </si>
  <si>
    <t xml:space="preserve">Annual ongoing storage cost @ avg usage</t>
  </si>
  <si>
    <t xml:space="preserve">Break-even years (capped 10GB user)</t>
  </si>
  <si>
    <t xml:space="preserve">Break-even years if user stores 50 GB</t>
  </si>
  <si>
    <t xml:space="preserve">← UNDERWATER by Year 2</t>
  </si>
  <si>
    <t xml:space="preserve">Break-even years if user stores 200 GB</t>
  </si>
  <si>
    <t xml:space="preserve">← UNDERWATER by Year 3</t>
  </si>
  <si>
    <t xml:space="preserve">Break-even years if user stores 500 GB</t>
  </si>
  <si>
    <t xml:space="preserve">← Monitor closely</t>
  </si>
  <si>
    <t xml:space="preserve">← Profitable for decades</t>
  </si>
  <si>
    <t xml:space="preserve">CONCLUSION: Storage caps are existential for the lifetime plan</t>
  </si>
  <si>
    <t xml:space="preserve">Recommended cap: 10 GB lifetime / 15 GB annual</t>
  </si>
  <si>
    <t xml:space="preserve">Free: 2 GB</t>
  </si>
  <si>
    <t xml:space="preserve">Annual: 15 GB</t>
  </si>
  <si>
    <t xml:space="preserve">Lifetime: 10 GB</t>
  </si>
  <si>
    <t xml:space="preserve">Solace Life — EBITDA Summary  |  3-Year P&amp;L</t>
  </si>
  <si>
    <t xml:space="preserve">REVENUE</t>
  </si>
  <si>
    <t xml:space="preserve">  Less: Platform Fees (App Store / Google)</t>
  </si>
  <si>
    <t xml:space="preserve">COST OF GOODS SOLD (Infrastructure)</t>
  </si>
  <si>
    <t xml:space="preserve">  Media Storage — Cloudflare R2</t>
  </si>
  <si>
    <t xml:space="preserve">  Egress / Bandwidth (R2 = free)</t>
  </si>
  <si>
    <t xml:space="preserve">  Supabase (DB, Auth, Edge Functions)</t>
  </si>
  <si>
    <t xml:space="preserve">  Email (Resend)</t>
  </si>
  <si>
    <t xml:space="preserve">  Netlify hosting</t>
  </si>
  <si>
    <t xml:space="preserve">  RevenueCat</t>
  </si>
  <si>
    <t xml:space="preserve">  Misc tools &amp; accounts</t>
  </si>
  <si>
    <t xml:space="preserve">Total COGS</t>
  </si>
  <si>
    <t xml:space="preserve">GROSS PROFIT</t>
  </si>
  <si>
    <t xml:space="preserve">OPERATING EXPENSES</t>
  </si>
  <si>
    <t xml:space="preserve">  Founder / Team Compensation</t>
  </si>
  <si>
    <t xml:space="preserve">  Marketing &amp; User Acquisition</t>
  </si>
  <si>
    <t xml:space="preserve">Total OpEx</t>
  </si>
  <si>
    <t xml:space="preserve">EBITDA</t>
  </si>
  <si>
    <t xml:space="preserve">EBITDA Margin %</t>
  </si>
  <si>
    <t xml:space="preserve">KEY METRICS</t>
  </si>
  <si>
    <t xml:space="preserve">Total storage footprint (GB)</t>
  </si>
  <si>
    <t xml:space="preserve">Storage cost per paid user (annual)</t>
  </si>
  <si>
    <t xml:space="preserve">Net revenue per paid user</t>
  </si>
  <si>
    <t xml:space="preserve">⚠️  RISK: LIFETIME PLAN WITHOUT STORAGE CAPS — Incremental cost exposure</t>
  </si>
  <si>
    <t xml:space="preserve">Uncapped power user extra storage cost (5% users @ 200GB)</t>
  </si>
  <si>
    <t xml:space="preserve">AWS egress cost if NOT using R2 (Y3 est.)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</si>
</sst>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0.0%;\-0.0%;\-"/>
    <numFmt numFmtId="167" formatCode="\$#,##0;&quot;($&quot;#,##0\);\-"/>
    <numFmt numFmtId="168" formatCode="#,##0.0&quot; GB&quot;"/>
    <numFmt numFmtId="169" formatCode="\$0.000"/>
    <numFmt numFmtId="170" formatCode="0.0%;\-0.0%;\-"/>
    <numFmt numFmtId="171" formatCode="#,##0&quot; GB&quot;"/>
    <numFmt numFmtId="172" formatCode="0.0&quot; TB&quot;"/>
    <numFmt numFmtId="173" formatCode="0.0&quot; GB&quot;"/>
    <numFmt numFmtId="174" formatCode="0.0&quot; yrs&quot;"/>
    <numFmt numFmtId="175" formatCode="@"/>
    <numFmt numFmtId="176" formatCode="\$#,##0.00;&quot;($&quot;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FFFFFF"/>
      <name val="Arial"/>
      <family val="0"/>
      <charset val="1"/>
    </font>
    <font>
      <sz val="10"/>
      <color rgb="FF1E7E34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B7791F"/>
      <name val="Arial"/>
      <family val="0"/>
      <charset val="1"/>
    </font>
    <font>
      <i val="true"/>
      <sz val="9"/>
      <color rgb="FF1E7E3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CE6F1"/>
        <bgColor rgb="FFE8F5E9"/>
      </patternFill>
    </fill>
    <fill>
      <patternFill patternType="solid">
        <fgColor rgb="FF2E4057"/>
        <bgColor rgb="FF1F3864"/>
      </patternFill>
    </fill>
    <fill>
      <patternFill patternType="solid">
        <fgColor rgb="FFFCF3CF"/>
        <bgColor rgb="FFFDEDEC"/>
      </patternFill>
    </fill>
    <fill>
      <patternFill patternType="solid">
        <fgColor rgb="FFFDEDEC"/>
        <bgColor rgb="FFFCF3CF"/>
      </patternFill>
    </fill>
    <fill>
      <patternFill patternType="solid">
        <fgColor rgb="FFEBF5EB"/>
        <bgColor rgb="FFE8F5E9"/>
      </patternFill>
    </fill>
    <fill>
      <patternFill patternType="solid">
        <fgColor rgb="FFE8F5E9"/>
        <bgColor rgb="FFEBF5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CF3CF"/>
      <rgbColor rgb="FFE8F5E9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1E7E34"/>
      <rgbColor rgb="FF003300"/>
      <rgbColor rgb="FF333300"/>
      <rgbColor rgb="FFC0392B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52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5.75" hidden="false" customHeight="true" outlineLevel="0" collapsed="false">
      <c r="A2" s="3" t="s">
        <v>1</v>
      </c>
      <c r="B2" s="3"/>
      <c r="C2" s="3"/>
    </row>
    <row r="4" customFormat="false" ht="18" hidden="false" customHeight="true" outlineLevel="0" collapsed="false">
      <c r="A4" s="4" t="s">
        <v>2</v>
      </c>
      <c r="B4" s="5"/>
      <c r="C4" s="5"/>
    </row>
    <row r="5" customFormat="false" ht="16.5" hidden="false" customHeight="true" outlineLevel="0" collapsed="false">
      <c r="A5" s="6" t="s">
        <v>3</v>
      </c>
      <c r="B5" s="7" t="n">
        <v>800</v>
      </c>
      <c r="C5" s="8" t="s">
        <v>4</v>
      </c>
    </row>
    <row r="6" customFormat="false" ht="16.5" hidden="false" customHeight="true" outlineLevel="0" collapsed="false">
      <c r="A6" s="6" t="s">
        <v>5</v>
      </c>
      <c r="B6" s="7" t="n">
        <v>2500</v>
      </c>
      <c r="C6" s="8" t="s">
        <v>6</v>
      </c>
    </row>
    <row r="7" customFormat="false" ht="16.5" hidden="false" customHeight="true" outlineLevel="0" collapsed="false">
      <c r="A7" s="6" t="s">
        <v>7</v>
      </c>
      <c r="B7" s="7" t="n">
        <v>9500</v>
      </c>
      <c r="C7" s="8" t="s">
        <v>8</v>
      </c>
    </row>
    <row r="8" customFormat="false" ht="16.5" hidden="false" customHeight="true" outlineLevel="0" collapsed="false">
      <c r="A8" s="6" t="s">
        <v>9</v>
      </c>
      <c r="B8" s="7" t="n">
        <v>25000</v>
      </c>
      <c r="C8" s="8" t="s">
        <v>10</v>
      </c>
    </row>
    <row r="9" customFormat="false" ht="16.5" hidden="false" customHeight="true" outlineLevel="0" collapsed="false">
      <c r="A9" s="6" t="s">
        <v>11</v>
      </c>
      <c r="B9" s="9" t="n">
        <v>0.2</v>
      </c>
      <c r="C9" s="8" t="s">
        <v>12</v>
      </c>
    </row>
    <row r="10" customFormat="false" ht="16.5" hidden="false" customHeight="true" outlineLevel="0" collapsed="false">
      <c r="A10" s="6" t="s">
        <v>13</v>
      </c>
      <c r="B10" s="9" t="n">
        <v>0.82</v>
      </c>
      <c r="C10" s="8" t="s">
        <v>14</v>
      </c>
    </row>
    <row r="12" customFormat="false" ht="18" hidden="false" customHeight="true" outlineLevel="0" collapsed="false">
      <c r="A12" s="4" t="s">
        <v>15</v>
      </c>
      <c r="B12" s="5"/>
      <c r="C12" s="5"/>
    </row>
    <row r="13" customFormat="false" ht="16.5" hidden="false" customHeight="true" outlineLevel="0" collapsed="false">
      <c r="A13" s="6" t="s">
        <v>16</v>
      </c>
      <c r="B13" s="10" t="n">
        <v>49</v>
      </c>
      <c r="C13" s="8" t="s">
        <v>17</v>
      </c>
    </row>
    <row r="14" customFormat="false" ht="16.5" hidden="false" customHeight="true" outlineLevel="0" collapsed="false">
      <c r="A14" s="6" t="s">
        <v>18</v>
      </c>
      <c r="B14" s="10" t="n">
        <v>149</v>
      </c>
      <c r="C14" s="8" t="s">
        <v>19</v>
      </c>
    </row>
    <row r="15" customFormat="false" ht="16.5" hidden="false" customHeight="true" outlineLevel="0" collapsed="false">
      <c r="A15" s="6" t="s">
        <v>20</v>
      </c>
      <c r="B15" s="9" t="n">
        <v>0.4</v>
      </c>
      <c r="C15" s="8" t="s">
        <v>21</v>
      </c>
    </row>
    <row r="16" customFormat="false" ht="16.5" hidden="false" customHeight="true" outlineLevel="0" collapsed="false">
      <c r="A16" s="6" t="s">
        <v>22</v>
      </c>
      <c r="B16" s="9" t="n">
        <v>0.6</v>
      </c>
      <c r="C16" s="8" t="s">
        <v>23</v>
      </c>
    </row>
    <row r="17" customFormat="false" ht="16.5" hidden="false" customHeight="true" outlineLevel="0" collapsed="false">
      <c r="A17" s="6" t="s">
        <v>24</v>
      </c>
      <c r="B17" s="9" t="n">
        <v>0.75</v>
      </c>
      <c r="C17" s="8" t="s">
        <v>25</v>
      </c>
    </row>
    <row r="18" customFormat="false" ht="16.5" hidden="false" customHeight="true" outlineLevel="0" collapsed="false">
      <c r="A18" s="6" t="s">
        <v>26</v>
      </c>
      <c r="B18" s="9" t="n">
        <v>0.3</v>
      </c>
      <c r="C18" s="8" t="s">
        <v>27</v>
      </c>
    </row>
    <row r="19" customFormat="false" ht="16.5" hidden="false" customHeight="true" outlineLevel="0" collapsed="false">
      <c r="A19" s="6" t="s">
        <v>28</v>
      </c>
      <c r="B19" s="9" t="n">
        <v>0.15</v>
      </c>
      <c r="C19" s="8" t="s">
        <v>29</v>
      </c>
    </row>
    <row r="20" customFormat="false" ht="16.5" hidden="false" customHeight="true" outlineLevel="0" collapsed="false">
      <c r="A20" s="6" t="s">
        <v>30</v>
      </c>
      <c r="B20" s="9" t="n">
        <v>0.3</v>
      </c>
      <c r="C20" s="8" t="s">
        <v>31</v>
      </c>
    </row>
    <row r="22" customFormat="false" ht="18" hidden="false" customHeight="true" outlineLevel="0" collapsed="false">
      <c r="A22" s="4" t="s">
        <v>32</v>
      </c>
      <c r="B22" s="5"/>
      <c r="C22" s="5"/>
    </row>
    <row r="23" customFormat="false" ht="16.5" hidden="false" customHeight="true" outlineLevel="0" collapsed="false">
      <c r="A23" s="6" t="s">
        <v>33</v>
      </c>
      <c r="B23" s="11" t="n">
        <v>2</v>
      </c>
      <c r="C23" s="8" t="s">
        <v>34</v>
      </c>
    </row>
    <row r="24" customFormat="false" ht="16.5" hidden="false" customHeight="true" outlineLevel="0" collapsed="false">
      <c r="A24" s="6" t="s">
        <v>35</v>
      </c>
      <c r="B24" s="11" t="n">
        <v>15</v>
      </c>
      <c r="C24" s="8" t="s">
        <v>36</v>
      </c>
    </row>
    <row r="25" customFormat="false" ht="16.5" hidden="false" customHeight="true" outlineLevel="0" collapsed="false">
      <c r="A25" s="6" t="s">
        <v>37</v>
      </c>
      <c r="B25" s="11" t="n">
        <v>10</v>
      </c>
      <c r="C25" s="8" t="s">
        <v>38</v>
      </c>
    </row>
    <row r="27" customFormat="false" ht="18" hidden="false" customHeight="true" outlineLevel="0" collapsed="false">
      <c r="A27" s="4" t="s">
        <v>39</v>
      </c>
      <c r="B27" s="5"/>
      <c r="C27" s="5"/>
    </row>
    <row r="28" customFormat="false" ht="16.5" hidden="false" customHeight="true" outlineLevel="0" collapsed="false">
      <c r="A28" s="6" t="s">
        <v>40</v>
      </c>
      <c r="B28" s="11" t="n">
        <v>0.5</v>
      </c>
      <c r="C28" s="8" t="s">
        <v>41</v>
      </c>
    </row>
    <row r="29" customFormat="false" ht="16.5" hidden="false" customHeight="true" outlineLevel="0" collapsed="false">
      <c r="A29" s="6" t="s">
        <v>42</v>
      </c>
      <c r="B29" s="11" t="n">
        <v>5.6</v>
      </c>
      <c r="C29" s="8" t="s">
        <v>43</v>
      </c>
    </row>
    <row r="30" customFormat="false" ht="16.5" hidden="false" customHeight="true" outlineLevel="0" collapsed="false">
      <c r="A30" s="6" t="s">
        <v>44</v>
      </c>
      <c r="B30" s="11" t="n">
        <v>8</v>
      </c>
      <c r="C30" s="8" t="s">
        <v>45</v>
      </c>
    </row>
    <row r="31" customFormat="false" ht="16.5" hidden="false" customHeight="true" outlineLevel="0" collapsed="false">
      <c r="A31" s="6" t="s">
        <v>46</v>
      </c>
      <c r="B31" s="9" t="n">
        <v>0.6</v>
      </c>
      <c r="C31" s="8" t="s">
        <v>47</v>
      </c>
    </row>
    <row r="32" customFormat="false" ht="16.5" hidden="false" customHeight="true" outlineLevel="0" collapsed="false">
      <c r="A32" s="6" t="s">
        <v>48</v>
      </c>
      <c r="B32" s="9" t="n">
        <v>0.5</v>
      </c>
      <c r="C32" s="8" t="s">
        <v>49</v>
      </c>
    </row>
    <row r="34" customFormat="false" ht="18" hidden="false" customHeight="true" outlineLevel="0" collapsed="false">
      <c r="A34" s="4" t="s">
        <v>50</v>
      </c>
      <c r="B34" s="5"/>
      <c r="C34" s="5"/>
    </row>
    <row r="35" customFormat="false" ht="16.5" hidden="false" customHeight="true" outlineLevel="0" collapsed="false">
      <c r="A35" s="6" t="s">
        <v>51</v>
      </c>
      <c r="B35" s="12" t="n">
        <v>0.015</v>
      </c>
      <c r="C35" s="8" t="s">
        <v>52</v>
      </c>
    </row>
    <row r="36" customFormat="false" ht="16.5" hidden="false" customHeight="true" outlineLevel="0" collapsed="false">
      <c r="A36" s="6" t="s">
        <v>53</v>
      </c>
      <c r="B36" s="12" t="n">
        <v>0</v>
      </c>
      <c r="C36" s="8" t="s">
        <v>54</v>
      </c>
    </row>
    <row r="37" customFormat="false" ht="16.5" hidden="false" customHeight="true" outlineLevel="0" collapsed="false">
      <c r="A37" s="6" t="s">
        <v>55</v>
      </c>
      <c r="B37" s="12" t="n">
        <v>0.023</v>
      </c>
      <c r="C37" s="8" t="s">
        <v>56</v>
      </c>
    </row>
    <row r="38" customFormat="false" ht="16.5" hidden="false" customHeight="true" outlineLevel="0" collapsed="false">
      <c r="A38" s="6" t="s">
        <v>57</v>
      </c>
      <c r="B38" s="12" t="n">
        <v>0.09</v>
      </c>
      <c r="C38" s="8" t="s">
        <v>58</v>
      </c>
    </row>
    <row r="39" customFormat="false" ht="16.5" hidden="false" customHeight="true" outlineLevel="0" collapsed="false">
      <c r="A39" s="6" t="s">
        <v>59</v>
      </c>
      <c r="B39" s="10" t="n">
        <v>25</v>
      </c>
      <c r="C39" s="8" t="s">
        <v>60</v>
      </c>
    </row>
    <row r="40" customFormat="false" ht="16.5" hidden="false" customHeight="true" outlineLevel="0" collapsed="false">
      <c r="A40" s="6" t="s">
        <v>61</v>
      </c>
      <c r="B40" s="10" t="n">
        <v>599</v>
      </c>
      <c r="C40" s="8" t="s">
        <v>62</v>
      </c>
    </row>
    <row r="41" customFormat="false" ht="16.5" hidden="false" customHeight="true" outlineLevel="0" collapsed="false">
      <c r="A41" s="6" t="s">
        <v>63</v>
      </c>
      <c r="B41" s="10" t="n">
        <v>240</v>
      </c>
      <c r="C41" s="8" t="s">
        <v>64</v>
      </c>
    </row>
    <row r="42" customFormat="false" ht="16.5" hidden="false" customHeight="true" outlineLevel="0" collapsed="false">
      <c r="A42" s="6" t="s">
        <v>65</v>
      </c>
      <c r="B42" s="10" t="n">
        <v>1068</v>
      </c>
      <c r="C42" s="8" t="s">
        <v>66</v>
      </c>
    </row>
    <row r="43" customFormat="false" ht="16.5" hidden="false" customHeight="true" outlineLevel="0" collapsed="false">
      <c r="A43" s="6" t="s">
        <v>67</v>
      </c>
      <c r="B43" s="10" t="n">
        <v>3600</v>
      </c>
      <c r="C43" s="8" t="s">
        <v>68</v>
      </c>
    </row>
    <row r="44" customFormat="false" ht="16.5" hidden="false" customHeight="true" outlineLevel="0" collapsed="false">
      <c r="A44" s="6" t="s">
        <v>69</v>
      </c>
      <c r="B44" s="10" t="n">
        <v>228</v>
      </c>
      <c r="C44" s="8" t="s">
        <v>70</v>
      </c>
    </row>
    <row r="45" customFormat="false" ht="16.5" hidden="false" customHeight="true" outlineLevel="0" collapsed="false">
      <c r="A45" s="6" t="s">
        <v>71</v>
      </c>
      <c r="B45" s="10" t="n">
        <v>1188</v>
      </c>
      <c r="C45" s="8" t="s">
        <v>72</v>
      </c>
    </row>
    <row r="46" customFormat="false" ht="16.5" hidden="false" customHeight="true" outlineLevel="0" collapsed="false">
      <c r="A46" s="6" t="s">
        <v>73</v>
      </c>
      <c r="B46" s="9" t="n">
        <v>0.01</v>
      </c>
      <c r="C46" s="8" t="s">
        <v>74</v>
      </c>
    </row>
    <row r="47" customFormat="false" ht="16.5" hidden="false" customHeight="true" outlineLevel="0" collapsed="false">
      <c r="A47" s="6" t="s">
        <v>75</v>
      </c>
      <c r="B47" s="10" t="n">
        <v>2400</v>
      </c>
      <c r="C47" s="8" t="s">
        <v>76</v>
      </c>
    </row>
    <row r="49" customFormat="false" ht="18" hidden="false" customHeight="true" outlineLevel="0" collapsed="false">
      <c r="A49" s="4" t="s">
        <v>77</v>
      </c>
      <c r="B49" s="5"/>
      <c r="C49" s="5"/>
    </row>
    <row r="50" customFormat="false" ht="16.5" hidden="false" customHeight="true" outlineLevel="0" collapsed="false">
      <c r="A50" s="6" t="s">
        <v>78</v>
      </c>
      <c r="B50" s="10" t="n">
        <v>60000</v>
      </c>
      <c r="C50" s="8" t="s">
        <v>79</v>
      </c>
    </row>
    <row r="51" customFormat="false" ht="16.5" hidden="false" customHeight="true" outlineLevel="0" collapsed="false">
      <c r="A51" s="6" t="s">
        <v>80</v>
      </c>
      <c r="B51" s="10" t="n">
        <v>120000</v>
      </c>
      <c r="C51" s="8" t="s">
        <v>81</v>
      </c>
    </row>
    <row r="52" customFormat="false" ht="16.5" hidden="false" customHeight="true" outlineLevel="0" collapsed="false">
      <c r="A52" s="6" t="s">
        <v>82</v>
      </c>
      <c r="B52" s="10" t="n">
        <v>200000</v>
      </c>
      <c r="C52" s="8" t="s">
        <v>83</v>
      </c>
    </row>
    <row r="53" customFormat="false" ht="16.5" hidden="false" customHeight="true" outlineLevel="0" collapsed="false">
      <c r="A53" s="6" t="s">
        <v>84</v>
      </c>
      <c r="B53" s="10" t="n">
        <v>5000</v>
      </c>
      <c r="C53" s="8" t="s">
        <v>85</v>
      </c>
    </row>
    <row r="54" customFormat="false" ht="16.5" hidden="false" customHeight="true" outlineLevel="0" collapsed="false">
      <c r="A54" s="6" t="s">
        <v>86</v>
      </c>
      <c r="B54" s="10" t="n">
        <v>25000</v>
      </c>
      <c r="C54" s="8" t="s">
        <v>87</v>
      </c>
    </row>
    <row r="55" customFormat="false" ht="16.5" hidden="false" customHeight="true" outlineLevel="0" collapsed="false">
      <c r="A55" s="6" t="s">
        <v>88</v>
      </c>
      <c r="B55" s="10" t="n">
        <v>60000</v>
      </c>
      <c r="C55" s="8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</cols>
  <sheetData>
    <row r="1" customFormat="false" ht="27.75" hidden="false" customHeight="true" outlineLevel="0" collapsed="false">
      <c r="A1" s="13" t="s">
        <v>90</v>
      </c>
      <c r="B1" s="13"/>
      <c r="C1" s="13"/>
      <c r="D1" s="13"/>
    </row>
    <row r="2" customFormat="false" ht="15" hidden="false" customHeight="true" outlineLevel="0" collapsed="false">
      <c r="A2" s="14"/>
      <c r="B2" s="15" t="s">
        <v>91</v>
      </c>
      <c r="C2" s="15" t="s">
        <v>92</v>
      </c>
      <c r="D2" s="15" t="s">
        <v>93</v>
      </c>
    </row>
    <row r="3" customFormat="false" ht="18" hidden="false" customHeight="true" outlineLevel="0" collapsed="false">
      <c r="A3" s="4" t="s">
        <v>94</v>
      </c>
      <c r="B3" s="5"/>
      <c r="C3" s="5"/>
      <c r="D3" s="5"/>
    </row>
    <row r="4" customFormat="false" ht="16.5" hidden="false" customHeight="true" outlineLevel="0" collapsed="false">
      <c r="A4" s="6" t="s">
        <v>95</v>
      </c>
      <c r="B4" s="16" t="n">
        <f aca="false">Assumptions!B6</f>
        <v>2500</v>
      </c>
      <c r="C4" s="16" t="n">
        <f aca="false">Assumptions!B7</f>
        <v>9500</v>
      </c>
      <c r="D4" s="16" t="n">
        <f aca="false">Assumptions!B8</f>
        <v>25000</v>
      </c>
    </row>
    <row r="5" customFormat="false" ht="16.5" hidden="false" customHeight="true" outlineLevel="0" collapsed="false">
      <c r="A5" s="6" t="s">
        <v>96</v>
      </c>
      <c r="B5" s="16" t="n">
        <f aca="false">ROUND(B4*(1-Assumptions!B9)/Assumptions!B9,0)</f>
        <v>10000</v>
      </c>
      <c r="C5" s="16" t="n">
        <f aca="false">ROUND(C4*(1-Assumptions!B9)/Assumptions!B9,0)</f>
        <v>38000</v>
      </c>
      <c r="D5" s="16" t="n">
        <f aca="false">ROUND(D4*(1-Assumptions!B9)/Assumptions!B9,0)</f>
        <v>100000</v>
      </c>
    </row>
    <row r="6" customFormat="false" ht="16.5" hidden="false" customHeight="true" outlineLevel="0" collapsed="false">
      <c r="A6" s="17" t="s">
        <v>97</v>
      </c>
      <c r="B6" s="18" t="n">
        <f aca="false">B4+B5</f>
        <v>12500</v>
      </c>
      <c r="C6" s="18" t="n">
        <f aca="false">C4+C5</f>
        <v>47500</v>
      </c>
      <c r="D6" s="18" t="n">
        <f aca="false">D4+D5</f>
        <v>125000</v>
      </c>
    </row>
    <row r="8" customFormat="false" ht="18" hidden="false" customHeight="true" outlineLevel="0" collapsed="false">
      <c r="A8" s="4" t="s">
        <v>98</v>
      </c>
      <c r="B8" s="5"/>
      <c r="C8" s="5"/>
      <c r="D8" s="5"/>
    </row>
    <row r="9" customFormat="false" ht="16.5" hidden="false" customHeight="true" outlineLevel="0" collapsed="false">
      <c r="A9" s="6" t="s">
        <v>99</v>
      </c>
      <c r="B9" s="16" t="n">
        <f aca="false">Assumptions!B6</f>
        <v>2500</v>
      </c>
      <c r="C9" s="16" t="n">
        <f aca="false">Assumptions!B7-Assumptions!B6</f>
        <v>7000</v>
      </c>
      <c r="D9" s="16" t="n">
        <f aca="false">Assumptions!B8-Assumptions!B7</f>
        <v>15500</v>
      </c>
    </row>
    <row r="10" customFormat="false" ht="16.5" hidden="false" customHeight="true" outlineLevel="0" collapsed="false">
      <c r="A10" s="6" t="s">
        <v>100</v>
      </c>
      <c r="B10" s="16" t="n">
        <f aca="false">ROUND(B8*Assumptions!B14,0)</f>
        <v>0</v>
      </c>
      <c r="C10" s="16" t="n">
        <f aca="false">ROUND(C8*Assumptions!B15,0)</f>
        <v>0</v>
      </c>
      <c r="D10" s="16" t="n">
        <f aca="false">ROUND(D8*Assumptions!B16,0)</f>
        <v>0</v>
      </c>
    </row>
    <row r="11" customFormat="false" ht="16.5" hidden="false" customHeight="true" outlineLevel="0" collapsed="false">
      <c r="A11" s="6" t="s">
        <v>101</v>
      </c>
      <c r="B11" s="16" t="n">
        <f aca="false">B8-B9</f>
        <v>-2500</v>
      </c>
      <c r="C11" s="16" t="n">
        <f aca="false">C8-C9</f>
        <v>-7000</v>
      </c>
      <c r="D11" s="16" t="n">
        <f aca="false">D8-D9</f>
        <v>-15500</v>
      </c>
    </row>
    <row r="12" customFormat="false" ht="16.5" hidden="false" customHeight="true" outlineLevel="0" collapsed="false">
      <c r="A12" s="6" t="s">
        <v>102</v>
      </c>
      <c r="B12" s="16" t="n">
        <v>0</v>
      </c>
      <c r="C12" s="16" t="n">
        <f aca="false">ROUND(B9*Assumptions!B10,0)</f>
        <v>2050</v>
      </c>
      <c r="D12" s="16" t="n">
        <f aca="false">ROUND((C9+B9)*Assumptions!B10,0)</f>
        <v>7790</v>
      </c>
    </row>
    <row r="14" customFormat="false" ht="18" hidden="false" customHeight="true" outlineLevel="0" collapsed="false">
      <c r="A14" s="4" t="s">
        <v>103</v>
      </c>
      <c r="B14" s="5"/>
      <c r="C14" s="5"/>
      <c r="D14" s="5"/>
    </row>
    <row r="15" customFormat="false" ht="16.5" hidden="false" customHeight="true" outlineLevel="0" collapsed="false">
      <c r="A15" s="6" t="s">
        <v>104</v>
      </c>
      <c r="B15" s="19" t="n">
        <f aca="false">B9*Assumptions!B12</f>
        <v>0</v>
      </c>
      <c r="C15" s="19" t="n">
        <f aca="false">C9*Assumptions!B12</f>
        <v>0</v>
      </c>
      <c r="D15" s="19" t="n">
        <f aca="false">D9*Assumptions!B12</f>
        <v>0</v>
      </c>
    </row>
    <row r="16" customFormat="false" ht="16.5" hidden="false" customHeight="true" outlineLevel="0" collapsed="false">
      <c r="A16" s="6" t="s">
        <v>105</v>
      </c>
      <c r="B16" s="19" t="n">
        <f aca="false">B10*Assumptions!B13</f>
        <v>0</v>
      </c>
      <c r="C16" s="19" t="n">
        <f aca="false">C10*Assumptions!B13</f>
        <v>0</v>
      </c>
      <c r="D16" s="19" t="n">
        <f aca="false">D10*Assumptions!B13</f>
        <v>0</v>
      </c>
    </row>
    <row r="17" customFormat="false" ht="16.5" hidden="false" customHeight="true" outlineLevel="0" collapsed="false">
      <c r="A17" s="6" t="s">
        <v>106</v>
      </c>
      <c r="B17" s="19" t="n">
        <f aca="false">B11*Assumptions!B12</f>
        <v>-0</v>
      </c>
      <c r="C17" s="19" t="n">
        <f aca="false">C11*Assumptions!B12</f>
        <v>-0</v>
      </c>
      <c r="D17" s="19" t="n">
        <f aca="false">D11*Assumptions!B12</f>
        <v>-0</v>
      </c>
    </row>
    <row r="18" customFormat="false" ht="16.5" hidden="false" customHeight="true" outlineLevel="0" collapsed="false">
      <c r="A18" s="20" t="s">
        <v>107</v>
      </c>
      <c r="B18" s="21" t="n">
        <f aca="false">SUM(B13:B15)</f>
        <v>0</v>
      </c>
      <c r="C18" s="21" t="n">
        <f aca="false">SUM(C13:C15)</f>
        <v>0</v>
      </c>
      <c r="D18" s="21" t="n">
        <f aca="false">SUM(D13:D15)</f>
        <v>0</v>
      </c>
    </row>
    <row r="20" customFormat="false" ht="18" hidden="false" customHeight="true" outlineLevel="0" collapsed="false">
      <c r="A20" s="4" t="s">
        <v>108</v>
      </c>
      <c r="B20" s="5"/>
      <c r="C20" s="5"/>
      <c r="D20" s="5"/>
    </row>
    <row r="21" customFormat="false" ht="16.5" hidden="false" customHeight="true" outlineLevel="0" collapsed="false">
      <c r="A21" s="6" t="s">
        <v>109</v>
      </c>
      <c r="B21" s="19" t="n">
        <f aca="false">B13*Assumptions!B17</f>
        <v>0</v>
      </c>
      <c r="C21" s="19" t="n">
        <f aca="false">C13*Assumptions!B18</f>
        <v>0</v>
      </c>
      <c r="D21" s="19" t="n">
        <f aca="false">D13*Assumptions!B18</f>
        <v>0</v>
      </c>
    </row>
    <row r="22" customFormat="false" ht="16.5" hidden="false" customHeight="true" outlineLevel="0" collapsed="false">
      <c r="A22" s="6" t="s">
        <v>110</v>
      </c>
      <c r="B22" s="19" t="n">
        <f aca="false">B14*Assumptions!B19</f>
        <v>0</v>
      </c>
      <c r="C22" s="19" t="n">
        <f aca="false">C14*Assumptions!B19</f>
        <v>0</v>
      </c>
      <c r="D22" s="19" t="n">
        <f aca="false">D14*Assumptions!B19</f>
        <v>0</v>
      </c>
    </row>
    <row r="23" customFormat="false" ht="16.5" hidden="false" customHeight="true" outlineLevel="0" collapsed="false">
      <c r="A23" s="6" t="s">
        <v>111</v>
      </c>
      <c r="B23" s="19" t="n">
        <f aca="false">B15*Assumptions!B17</f>
        <v>0</v>
      </c>
      <c r="C23" s="19" t="n">
        <f aca="false">C15*Assumptions!B18</f>
        <v>0</v>
      </c>
      <c r="D23" s="19" t="n">
        <f aca="false">D15*Assumptions!B18</f>
        <v>0</v>
      </c>
    </row>
    <row r="24" customFormat="false" ht="16.5" hidden="false" customHeight="true" outlineLevel="0" collapsed="false">
      <c r="A24" s="22" t="s">
        <v>112</v>
      </c>
      <c r="B24" s="23" t="n">
        <f aca="false">SUM(B18:B20)</f>
        <v>0</v>
      </c>
      <c r="C24" s="23" t="n">
        <f aca="false">SUM(C18:C20)</f>
        <v>0</v>
      </c>
      <c r="D24" s="23" t="n">
        <f aca="false">SUM(D18:D20)</f>
        <v>0</v>
      </c>
    </row>
    <row r="26" customFormat="false" ht="18" hidden="false" customHeight="true" outlineLevel="0" collapsed="false">
      <c r="A26" s="4" t="s">
        <v>113</v>
      </c>
      <c r="B26" s="5"/>
      <c r="C26" s="5"/>
      <c r="D26" s="5"/>
    </row>
    <row r="27" customFormat="false" ht="16.5" hidden="false" customHeight="true" outlineLevel="0" collapsed="false">
      <c r="A27" s="24" t="s">
        <v>114</v>
      </c>
      <c r="B27" s="25" t="n">
        <f aca="false">B16-B21</f>
        <v>0</v>
      </c>
      <c r="C27" s="25" t="n">
        <f aca="false">C16-C21</f>
        <v>0</v>
      </c>
      <c r="D27" s="25" t="n">
        <f aca="false">D16-D21</f>
        <v>0</v>
      </c>
    </row>
    <row r="28" customFormat="false" ht="16.5" hidden="false" customHeight="true" outlineLevel="0" collapsed="false">
      <c r="A28" s="6" t="s">
        <v>115</v>
      </c>
      <c r="B28" s="26" t="n">
        <f aca="false">IFERROR(B23/B16,0)</f>
        <v>0</v>
      </c>
      <c r="C28" s="26" t="n">
        <f aca="false">IFERROR(C23/C16,0)</f>
        <v>0</v>
      </c>
      <c r="D28" s="26" t="n">
        <f aca="false">IFERROR(D23/D16,0)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</cols>
  <sheetData>
    <row r="1" customFormat="false" ht="27.75" hidden="false" customHeight="true" outlineLevel="0" collapsed="false">
      <c r="A1" s="13" t="s">
        <v>116</v>
      </c>
      <c r="B1" s="13"/>
      <c r="C1" s="13"/>
      <c r="D1" s="13"/>
    </row>
    <row r="2" customFormat="false" ht="15" hidden="false" customHeight="true" outlineLevel="0" collapsed="false">
      <c r="A2" s="14"/>
      <c r="B2" s="15" t="s">
        <v>91</v>
      </c>
      <c r="C2" s="15" t="s">
        <v>92</v>
      </c>
      <c r="D2" s="15" t="s">
        <v>93</v>
      </c>
    </row>
    <row r="3" customFormat="false" ht="18" hidden="false" customHeight="true" outlineLevel="0" collapsed="false">
      <c r="A3" s="4" t="s">
        <v>117</v>
      </c>
      <c r="B3" s="5"/>
      <c r="C3" s="5"/>
      <c r="D3" s="5"/>
    </row>
    <row r="4" customFormat="false" ht="16.5" hidden="false" customHeight="true" outlineLevel="0" collapsed="false">
      <c r="A4" s="27" t="s">
        <v>118</v>
      </c>
      <c r="B4" s="28" t="n">
        <f aca="false">'User &amp; Revenue'!B4</f>
        <v>2500</v>
      </c>
      <c r="C4" s="28" t="n">
        <f aca="false">'User &amp; Revenue'!C4</f>
        <v>9500</v>
      </c>
      <c r="D4" s="28" t="n">
        <f aca="false">'User &amp; Revenue'!D4</f>
        <v>25000</v>
      </c>
    </row>
    <row r="5" customFormat="false" ht="16.5" hidden="false" customHeight="true" outlineLevel="0" collapsed="false">
      <c r="A5" s="27" t="s">
        <v>119</v>
      </c>
      <c r="B5" s="28" t="n">
        <f aca="false">'User &amp; Revenue'!B9</f>
        <v>2500</v>
      </c>
      <c r="C5" s="28" t="n">
        <f aca="false">'User &amp; Revenue'!B9+'User &amp; Revenue'!C9</f>
        <v>9500</v>
      </c>
      <c r="D5" s="28" t="n">
        <f aca="false">'User &amp; Revenue'!B9+'User &amp; Revenue'!C9+'User &amp; Revenue'!D9</f>
        <v>25000</v>
      </c>
    </row>
    <row r="6" customFormat="false" ht="16.5" hidden="false" customHeight="true" outlineLevel="0" collapsed="false">
      <c r="A6" s="27" t="s">
        <v>120</v>
      </c>
      <c r="B6" s="28" t="n">
        <f aca="false">'User &amp; Revenue'!B10</f>
        <v>0</v>
      </c>
      <c r="C6" s="28" t="n">
        <f aca="false">'User &amp; Revenue'!B10+'User &amp; Revenue'!C10</f>
        <v>0</v>
      </c>
      <c r="D6" s="28" t="n">
        <f aca="false">'User &amp; Revenue'!B10+'User &amp; Revenue'!C10+'User &amp; Revenue'!D10</f>
        <v>0</v>
      </c>
    </row>
    <row r="7" customFormat="false" ht="16.5" hidden="false" customHeight="true" outlineLevel="0" collapsed="false">
      <c r="A7" s="27" t="s">
        <v>121</v>
      </c>
      <c r="B7" s="28" t="n">
        <f aca="false">'User &amp; Revenue'!B5</f>
        <v>10000</v>
      </c>
      <c r="C7" s="28" t="n">
        <f aca="false">'User &amp; Revenue'!C5</f>
        <v>38000</v>
      </c>
      <c r="D7" s="28" t="n">
        <f aca="false">'User &amp; Revenue'!D5</f>
        <v>100000</v>
      </c>
    </row>
    <row r="9" customFormat="false" ht="18" hidden="false" customHeight="true" outlineLevel="0" collapsed="false">
      <c r="A9" s="4" t="s">
        <v>122</v>
      </c>
      <c r="B9" s="5"/>
      <c r="C9" s="5"/>
      <c r="D9" s="5"/>
    </row>
    <row r="10" customFormat="false" ht="16.5" hidden="false" customHeight="true" outlineLevel="0" collapsed="false">
      <c r="A10" s="6" t="s">
        <v>123</v>
      </c>
      <c r="B10" s="29" t="n">
        <f aca="false">B4*Assumptions!B24</f>
        <v>37500</v>
      </c>
      <c r="C10" s="29" t="n">
        <f aca="false">C4*Assumptions!B24*(1+Assumptions!B27)</f>
        <v>142500</v>
      </c>
      <c r="D10" s="29" t="n">
        <f aca="false">D4*Assumptions!B24*(1+Assumptions!B28)</f>
        <v>562500</v>
      </c>
    </row>
    <row r="11" customFormat="false" ht="16.5" hidden="false" customHeight="true" outlineLevel="0" collapsed="false">
      <c r="A11" s="6" t="s">
        <v>124</v>
      </c>
      <c r="B11" s="29" t="n">
        <f aca="false">B5*Assumptions!B25</f>
        <v>25000</v>
      </c>
      <c r="C11" s="29" t="n">
        <f aca="false">C5*Assumptions!B25</f>
        <v>95000</v>
      </c>
      <c r="D11" s="29" t="n">
        <f aca="false">D5*Assumptions!B25</f>
        <v>250000</v>
      </c>
    </row>
    <row r="12" customFormat="false" ht="16.5" hidden="false" customHeight="true" outlineLevel="0" collapsed="false">
      <c r="A12" s="6" t="s">
        <v>125</v>
      </c>
      <c r="B12" s="29" t="n">
        <f aca="false">B6*Assumptions!B26</f>
        <v>0</v>
      </c>
      <c r="C12" s="29" t="n">
        <f aca="false">C6*Assumptions!B26*(1+Assumptions!B27)</f>
        <v>0</v>
      </c>
      <c r="D12" s="29" t="n">
        <f aca="false">D6*Assumptions!B26*(1+Assumptions!B28)</f>
        <v>0</v>
      </c>
    </row>
    <row r="13" customFormat="false" ht="16.5" hidden="false" customHeight="true" outlineLevel="0" collapsed="false">
      <c r="A13" s="20" t="s">
        <v>126</v>
      </c>
      <c r="B13" s="30" t="n">
        <f aca="false">SUM(B9:B11)</f>
        <v>62500</v>
      </c>
      <c r="C13" s="30" t="n">
        <f aca="false">SUM(C9:C11)</f>
        <v>237500</v>
      </c>
      <c r="D13" s="30" t="n">
        <f aca="false">SUM(D9:D11)</f>
        <v>812500</v>
      </c>
    </row>
    <row r="14" customFormat="false" ht="16.5" hidden="false" customHeight="true" outlineLevel="0" collapsed="false">
      <c r="A14" s="20" t="s">
        <v>127</v>
      </c>
      <c r="B14" s="31" t="n">
        <f aca="false">B12/1024</f>
        <v>0</v>
      </c>
      <c r="C14" s="31" t="n">
        <f aca="false">C12/1024</f>
        <v>0</v>
      </c>
      <c r="D14" s="31" t="n">
        <f aca="false">D12/1024</f>
        <v>0</v>
      </c>
    </row>
    <row r="16" customFormat="false" ht="18" hidden="false" customHeight="true" outlineLevel="0" collapsed="false">
      <c r="A16" s="32" t="s">
        <v>128</v>
      </c>
      <c r="B16" s="33"/>
      <c r="C16" s="33"/>
      <c r="D16" s="33"/>
    </row>
    <row r="17" customFormat="false" ht="16.5" hidden="false" customHeight="true" outlineLevel="0" collapsed="false">
      <c r="A17" s="34" t="s">
        <v>129</v>
      </c>
      <c r="B17" s="35" t="n">
        <f aca="false">ROUND(B4*0.05,0)</f>
        <v>125</v>
      </c>
      <c r="C17" s="35" t="n">
        <f aca="false">ROUND(C4*0.05,0)</f>
        <v>475</v>
      </c>
      <c r="D17" s="35" t="n">
        <f aca="false">ROUND(D4*0.05,0)</f>
        <v>1250</v>
      </c>
    </row>
    <row r="18" customFormat="false" ht="16.5" hidden="false" customHeight="true" outlineLevel="0" collapsed="false">
      <c r="A18" s="36" t="s">
        <v>130</v>
      </c>
      <c r="B18" s="37" t="n">
        <v>50</v>
      </c>
      <c r="C18" s="37" t="n">
        <v>150</v>
      </c>
      <c r="D18" s="37" t="n">
        <v>300</v>
      </c>
    </row>
    <row r="19" customFormat="false" ht="16.5" hidden="false" customHeight="true" outlineLevel="0" collapsed="false">
      <c r="A19" s="34" t="s">
        <v>131</v>
      </c>
      <c r="B19" s="38" t="n">
        <f aca="false">B15*B16/1024</f>
        <v>0</v>
      </c>
      <c r="C19" s="38" t="n">
        <f aca="false">C15*C16/1024</f>
        <v>0</v>
      </c>
      <c r="D19" s="38" t="n">
        <f aca="false">D15*D16/1024</f>
        <v>0</v>
      </c>
    </row>
    <row r="20" customFormat="false" ht="16.5" hidden="false" customHeight="true" outlineLevel="0" collapsed="false">
      <c r="A20" s="34" t="s">
        <v>132</v>
      </c>
      <c r="B20" s="39" t="n">
        <f aca="false">B17*1024*Assumptions!B30*12</f>
        <v>12288000</v>
      </c>
      <c r="C20" s="39" t="n">
        <f aca="false">C17*1024*Assumptions!B30*12</f>
        <v>46694400</v>
      </c>
      <c r="D20" s="39" t="n">
        <f aca="false">D17*1024*Assumptions!B30*12</f>
        <v>122880000</v>
      </c>
    </row>
    <row r="22" customFormat="false" ht="18" hidden="false" customHeight="true" outlineLevel="0" collapsed="false">
      <c r="A22" s="4" t="s">
        <v>133</v>
      </c>
      <c r="B22" s="5"/>
      <c r="C22" s="5"/>
      <c r="D22" s="5"/>
    </row>
    <row r="23" customFormat="false" ht="16.5" hidden="false" customHeight="true" outlineLevel="0" collapsed="false">
      <c r="A23" s="6" t="s">
        <v>134</v>
      </c>
      <c r="B23" s="19" t="n">
        <f aca="false">B12*Assumptions!B30*12</f>
        <v>0</v>
      </c>
      <c r="C23" s="19" t="n">
        <f aca="false">C12*Assumptions!B30*12</f>
        <v>0</v>
      </c>
      <c r="D23" s="19" t="n">
        <f aca="false">D12*Assumptions!B30*12</f>
        <v>0</v>
      </c>
    </row>
    <row r="24" customFormat="false" ht="16.5" hidden="false" customHeight="true" outlineLevel="0" collapsed="false">
      <c r="A24" s="6" t="s">
        <v>135</v>
      </c>
      <c r="B24" s="19" t="n">
        <v>0</v>
      </c>
      <c r="C24" s="19" t="n">
        <v>0</v>
      </c>
      <c r="D24" s="19" t="n">
        <v>0</v>
      </c>
    </row>
    <row r="25" customFormat="false" ht="16.5" hidden="false" customHeight="true" outlineLevel="0" collapsed="false">
      <c r="A25" s="6" t="s">
        <v>136</v>
      </c>
      <c r="B25" s="19" t="n">
        <f aca="false">Assumptions!B34*12</f>
        <v>0</v>
      </c>
      <c r="C25" s="19" t="n">
        <f aca="false">(Assumptions!B34*6+Assumptions!B35*6)</f>
        <v>0.09</v>
      </c>
      <c r="D25" s="19" t="n">
        <f aca="false">Assumptions!B35*12</f>
        <v>0.18</v>
      </c>
    </row>
    <row r="26" customFormat="false" ht="16.5" hidden="false" customHeight="true" outlineLevel="0" collapsed="false">
      <c r="A26" s="6" t="s">
        <v>137</v>
      </c>
      <c r="B26" s="19" t="n">
        <f aca="false">Assumptions!B36</f>
        <v>0</v>
      </c>
      <c r="C26" s="19" t="n">
        <f aca="false">Assumptions!B37</f>
        <v>0.023</v>
      </c>
      <c r="D26" s="19" t="n">
        <f aca="false">Assumptions!B38</f>
        <v>0.09</v>
      </c>
    </row>
    <row r="27" customFormat="false" ht="16.5" hidden="false" customHeight="true" outlineLevel="0" collapsed="false">
      <c r="A27" s="6" t="s">
        <v>138</v>
      </c>
      <c r="B27" s="19" t="n">
        <f aca="false">Assumptions!B39</f>
        <v>25</v>
      </c>
      <c r="C27" s="19" t="n">
        <f aca="false">Assumptions!B39</f>
        <v>25</v>
      </c>
      <c r="D27" s="19" t="n">
        <f aca="false">Assumptions!B40</f>
        <v>599</v>
      </c>
    </row>
    <row r="28" customFormat="false" ht="16.5" hidden="false" customHeight="true" outlineLevel="0" collapsed="false">
      <c r="A28" s="6" t="s">
        <v>139</v>
      </c>
      <c r="B28" s="19" t="n">
        <v>0</v>
      </c>
      <c r="C28" s="19" t="n">
        <f aca="false">'User &amp; Revenue'!C23*Assumptions!B41</f>
        <v>0</v>
      </c>
      <c r="D28" s="19" t="n">
        <f aca="false">'User &amp; Revenue'!D23*Assumptions!B41</f>
        <v>0</v>
      </c>
    </row>
    <row r="29" customFormat="false" ht="16.5" hidden="false" customHeight="true" outlineLevel="0" collapsed="false">
      <c r="A29" s="6" t="s">
        <v>140</v>
      </c>
      <c r="B29" s="19" t="n">
        <f aca="false">Assumptions!B42</f>
        <v>1068</v>
      </c>
      <c r="C29" s="19" t="n">
        <f aca="false">Assumptions!B42</f>
        <v>1068</v>
      </c>
      <c r="D29" s="19" t="n">
        <f aca="false">Assumptions!B42</f>
        <v>1068</v>
      </c>
    </row>
    <row r="30" customFormat="false" ht="16.5" hidden="false" customHeight="true" outlineLevel="0" collapsed="false">
      <c r="A30" s="20" t="s">
        <v>141</v>
      </c>
      <c r="B30" s="21" t="n">
        <f aca="false">SUM(B20:B26)</f>
        <v>12288000</v>
      </c>
      <c r="C30" s="21" t="n">
        <f aca="false">SUM(C20:C26)</f>
        <v>46694400.113</v>
      </c>
      <c r="D30" s="21" t="n">
        <f aca="false">SUM(D20:D26)</f>
        <v>122880000.27</v>
      </c>
    </row>
    <row r="32" customFormat="false" ht="18" hidden="false" customHeight="true" outlineLevel="0" collapsed="false">
      <c r="A32" s="4" t="s">
        <v>142</v>
      </c>
      <c r="B32" s="5"/>
      <c r="C32" s="5"/>
      <c r="D32" s="5"/>
    </row>
    <row r="33" customFormat="false" ht="16.5" hidden="false" customHeight="true" outlineLevel="0" collapsed="false">
      <c r="A33" s="27" t="s">
        <v>143</v>
      </c>
      <c r="B33" s="40" t="n">
        <f aca="false">'User &amp; Revenue'!B23</f>
        <v>0</v>
      </c>
      <c r="C33" s="40" t="n">
        <f aca="false">'User &amp; Revenue'!C23</f>
        <v>0</v>
      </c>
      <c r="D33" s="40" t="n">
        <f aca="false">'User &amp; Revenue'!D23</f>
        <v>0</v>
      </c>
    </row>
    <row r="34" customFormat="false" ht="16.5" hidden="false" customHeight="true" outlineLevel="0" collapsed="false">
      <c r="A34" s="6" t="s">
        <v>144</v>
      </c>
      <c r="B34" s="19" t="n">
        <f aca="false">B27</f>
        <v>25</v>
      </c>
      <c r="C34" s="19" t="n">
        <f aca="false">C27</f>
        <v>25</v>
      </c>
      <c r="D34" s="19" t="n">
        <f aca="false">D27</f>
        <v>599</v>
      </c>
    </row>
    <row r="35" customFormat="false" ht="16.5" hidden="false" customHeight="true" outlineLevel="0" collapsed="false">
      <c r="A35" s="24" t="s">
        <v>145</v>
      </c>
      <c r="B35" s="25" t="n">
        <f aca="false">B29-B30</f>
        <v>-12286932</v>
      </c>
      <c r="C35" s="25" t="n">
        <f aca="false">C29-C30</f>
        <v>-46693332.113</v>
      </c>
      <c r="D35" s="25" t="n">
        <f aca="false">D29-D30</f>
        <v>-122878932.27</v>
      </c>
    </row>
    <row r="36" customFormat="false" ht="16.5" hidden="false" customHeight="true" outlineLevel="0" collapsed="false">
      <c r="A36" s="24" t="s">
        <v>146</v>
      </c>
      <c r="B36" s="41" t="n">
        <f aca="false">B31/B29</f>
        <v>0</v>
      </c>
      <c r="C36" s="41" t="n">
        <f aca="false">C31/C29</f>
        <v>0</v>
      </c>
      <c r="D36" s="41" t="n">
        <f aca="false">D31/D29</f>
        <v>0</v>
      </c>
    </row>
    <row r="38" customFormat="false" ht="16.5" hidden="false" customHeight="true" outlineLevel="0" collapsed="false">
      <c r="A38" s="36" t="s">
        <v>147</v>
      </c>
      <c r="B38" s="42" t="s">
        <v>148</v>
      </c>
      <c r="C38" s="42" t="s">
        <v>148</v>
      </c>
      <c r="D38" s="42" t="n">
        <f aca="false">D12/1024*0.2*1024*Assumptions!B33*12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27.75" hidden="false" customHeight="true" outlineLevel="0" collapsed="false">
      <c r="A1" s="13" t="s">
        <v>149</v>
      </c>
      <c r="B1" s="13"/>
      <c r="C1" s="13"/>
      <c r="D1" s="13"/>
    </row>
    <row r="2" customFormat="false" ht="15" hidden="false" customHeight="true" outlineLevel="0" collapsed="false">
      <c r="A2" s="14"/>
      <c r="B2" s="15" t="s">
        <v>150</v>
      </c>
      <c r="C2" s="15" t="s">
        <v>151</v>
      </c>
      <c r="D2" s="15" t="s">
        <v>152</v>
      </c>
    </row>
    <row r="3" customFormat="false" ht="15" hidden="false" customHeight="true" outlineLevel="0" collapsed="false">
      <c r="A3" s="43"/>
      <c r="B3" s="44" t="s">
        <v>153</v>
      </c>
      <c r="C3" s="44" t="s">
        <v>154</v>
      </c>
      <c r="D3" s="44" t="s">
        <v>155</v>
      </c>
    </row>
    <row r="4" customFormat="false" ht="18" hidden="false" customHeight="true" outlineLevel="0" collapsed="false">
      <c r="A4" s="4" t="s">
        <v>156</v>
      </c>
      <c r="B4" s="5"/>
      <c r="C4" s="5"/>
      <c r="D4" s="5"/>
    </row>
    <row r="5" customFormat="false" ht="16.5" hidden="false" customHeight="true" outlineLevel="0" collapsed="false">
      <c r="A5" s="6" t="s">
        <v>157</v>
      </c>
      <c r="B5" s="19" t="n">
        <v>0</v>
      </c>
      <c r="C5" s="19" t="n">
        <f aca="false">Assumptions!B12</f>
        <v>0</v>
      </c>
      <c r="D5" s="19" t="n">
        <f aca="false">Assumptions!B13</f>
        <v>49</v>
      </c>
    </row>
    <row r="6" customFormat="false" ht="16.5" hidden="false" customHeight="true" outlineLevel="0" collapsed="false">
      <c r="A6" s="6" t="s">
        <v>158</v>
      </c>
      <c r="B6" s="19" t="n">
        <v>0</v>
      </c>
      <c r="C6" s="19" t="n">
        <f aca="false">B5*Assumptions!B17</f>
        <v>0</v>
      </c>
      <c r="D6" s="19" t="n">
        <f aca="false">C5*Assumptions!B19</f>
        <v>0</v>
      </c>
    </row>
    <row r="7" customFormat="false" ht="16.5" hidden="false" customHeight="true" outlineLevel="0" collapsed="false">
      <c r="A7" s="6" t="s">
        <v>159</v>
      </c>
      <c r="B7" s="19" t="n">
        <v>0</v>
      </c>
      <c r="C7" s="19" t="n">
        <f aca="false">B5-B6</f>
        <v>0</v>
      </c>
      <c r="D7" s="19" t="n">
        <f aca="false">C5-C6</f>
        <v>0</v>
      </c>
    </row>
    <row r="8" customFormat="false" ht="16.5" hidden="false" customHeight="true" outlineLevel="0" collapsed="false">
      <c r="A8" s="6" t="s">
        <v>160</v>
      </c>
      <c r="B8" s="19" t="n">
        <v>0</v>
      </c>
      <c r="C8" s="19" t="n">
        <f aca="false">Assumptions!B12*(1-Assumptions!B18)</f>
        <v>0</v>
      </c>
      <c r="D8" s="19" t="n">
        <v>0</v>
      </c>
    </row>
    <row r="9" customFormat="false" ht="16.5" hidden="false" customHeight="true" outlineLevel="0" collapsed="false">
      <c r="A9" s="6" t="s">
        <v>161</v>
      </c>
      <c r="B9" s="19" t="n">
        <v>0</v>
      </c>
      <c r="C9" s="19" t="n">
        <f aca="false">Assumptions!B12*(1-Assumptions!B18)</f>
        <v>0</v>
      </c>
      <c r="D9" s="19" t="n">
        <v>0</v>
      </c>
    </row>
    <row r="10" customFormat="false" ht="16.5" hidden="false" customHeight="true" outlineLevel="0" collapsed="false">
      <c r="A10" s="24" t="s">
        <v>162</v>
      </c>
      <c r="B10" s="25" t="n">
        <v>0</v>
      </c>
      <c r="C10" s="25" t="n">
        <f aca="false">B7+B8+B9</f>
        <v>0</v>
      </c>
      <c r="D10" s="25" t="n">
        <f aca="false">C7</f>
        <v>0</v>
      </c>
    </row>
    <row r="12" customFormat="false" ht="18" hidden="false" customHeight="true" outlineLevel="0" collapsed="false">
      <c r="A12" s="4" t="s">
        <v>163</v>
      </c>
      <c r="B12" s="5"/>
      <c r="C12" s="5"/>
      <c r="D12" s="5"/>
    </row>
    <row r="13" customFormat="false" ht="16.5" hidden="false" customHeight="true" outlineLevel="0" collapsed="false">
      <c r="A13" s="6" t="s">
        <v>164</v>
      </c>
      <c r="B13" s="45" t="n">
        <f aca="false">Assumptions!B21</f>
        <v>0</v>
      </c>
      <c r="C13" s="45" t="n">
        <f aca="false">Assumptions!B22</f>
        <v>0</v>
      </c>
      <c r="D13" s="45" t="n">
        <f aca="false">Assumptions!B23</f>
        <v>2</v>
      </c>
    </row>
    <row r="14" customFormat="false" ht="16.5" hidden="false" customHeight="true" outlineLevel="0" collapsed="false">
      <c r="A14" s="6" t="s">
        <v>165</v>
      </c>
      <c r="B14" s="45" t="n">
        <f aca="false">Assumptions!B24</f>
        <v>15</v>
      </c>
      <c r="C14" s="45" t="n">
        <f aca="false">Assumptions!B25</f>
        <v>10</v>
      </c>
      <c r="D14" s="45" t="n">
        <f aca="false">Assumptions!B26</f>
        <v>0</v>
      </c>
    </row>
    <row r="15" customFormat="false" ht="16.5" hidden="false" customHeight="true" outlineLevel="0" collapsed="false">
      <c r="A15" s="6" t="s">
        <v>166</v>
      </c>
      <c r="B15" s="19" t="n">
        <f aca="false">B14*Assumptions!B30*12</f>
        <v>1440</v>
      </c>
      <c r="C15" s="19" t="n">
        <f aca="false">C14*Assumptions!B30*12</f>
        <v>960</v>
      </c>
      <c r="D15" s="19" t="n">
        <f aca="false">D14*Assumptions!B30*12</f>
        <v>0</v>
      </c>
    </row>
    <row r="16" customFormat="false" ht="16.5" hidden="false" customHeight="true" outlineLevel="0" collapsed="false">
      <c r="A16" s="6" t="s">
        <v>167</v>
      </c>
      <c r="B16" s="19" t="n">
        <f aca="false">B15*1.6*Assumptions!B30*12</f>
        <v>221184</v>
      </c>
      <c r="C16" s="19" t="n">
        <f aca="false">C15*1.6*Assumptions!B30*12</f>
        <v>147456</v>
      </c>
      <c r="D16" s="19" t="n">
        <f aca="false">D15*1.6*Assumptions!B30*12</f>
        <v>0</v>
      </c>
    </row>
    <row r="17" customFormat="false" ht="16.5" hidden="false" customHeight="true" outlineLevel="0" collapsed="false">
      <c r="A17" s="6" t="s">
        <v>168</v>
      </c>
      <c r="B17" s="19" t="n">
        <f aca="false">B16*1.5*Assumptions!B30*12</f>
        <v>31850496</v>
      </c>
      <c r="C17" s="19" t="n">
        <f aca="false">C16*1.5*Assumptions!B30*12</f>
        <v>21233664</v>
      </c>
      <c r="D17" s="19" t="n">
        <f aca="false">D16*1.5*Assumptions!B30*12</f>
        <v>0</v>
      </c>
    </row>
    <row r="18" customFormat="false" ht="16.5" hidden="false" customHeight="true" outlineLevel="0" collapsed="false">
      <c r="A18" s="22" t="s">
        <v>169</v>
      </c>
      <c r="B18" s="23" t="n">
        <f aca="false">SUM(B15:B17)</f>
        <v>32073120</v>
      </c>
      <c r="C18" s="23" t="n">
        <f aca="false">SUM(C15:C17)</f>
        <v>21382080</v>
      </c>
      <c r="D18" s="23" t="n">
        <f aca="false">SUM(D15:D17)</f>
        <v>0</v>
      </c>
    </row>
    <row r="20" customFormat="false" ht="18" hidden="false" customHeight="true" outlineLevel="0" collapsed="false">
      <c r="A20" s="4" t="s">
        <v>170</v>
      </c>
      <c r="B20" s="5"/>
      <c r="C20" s="5"/>
      <c r="D20" s="5"/>
    </row>
    <row r="21" customFormat="false" ht="16.5" hidden="false" customHeight="true" outlineLevel="0" collapsed="false">
      <c r="A21" s="46" t="s">
        <v>171</v>
      </c>
      <c r="B21" s="47" t="n">
        <f aca="false">B10</f>
        <v>0</v>
      </c>
      <c r="C21" s="47" t="n">
        <f aca="false">C10</f>
        <v>0</v>
      </c>
      <c r="D21" s="47" t="n">
        <f aca="false">D10</f>
        <v>0</v>
      </c>
    </row>
    <row r="22" customFormat="false" ht="16.5" hidden="false" customHeight="true" outlineLevel="0" collapsed="false">
      <c r="A22" s="48" t="s">
        <v>172</v>
      </c>
      <c r="B22" s="49" t="n">
        <f aca="false">B18</f>
        <v>32073120</v>
      </c>
      <c r="C22" s="49" t="n">
        <f aca="false">C18</f>
        <v>21382080</v>
      </c>
      <c r="D22" s="49" t="n">
        <f aca="false">D18</f>
        <v>0</v>
      </c>
    </row>
    <row r="23" customFormat="false" ht="16.5" hidden="false" customHeight="true" outlineLevel="0" collapsed="false">
      <c r="A23" s="24" t="s">
        <v>173</v>
      </c>
      <c r="B23" s="25" t="n">
        <f aca="false">B20-B21</f>
        <v>0</v>
      </c>
      <c r="C23" s="25" t="n">
        <f aca="false">C20-C21</f>
        <v>0</v>
      </c>
      <c r="D23" s="25" t="n">
        <f aca="false">D20-D21</f>
        <v>0</v>
      </c>
    </row>
    <row r="25" customFormat="false" ht="18" hidden="false" customHeight="true" outlineLevel="0" collapsed="false">
      <c r="A25" s="32" t="s">
        <v>174</v>
      </c>
      <c r="B25" s="33"/>
      <c r="C25" s="33"/>
      <c r="D25" s="33"/>
    </row>
    <row r="26" customFormat="false" ht="16.5" hidden="false" customHeight="true" outlineLevel="0" collapsed="false">
      <c r="A26" s="34" t="s">
        <v>175</v>
      </c>
      <c r="B26" s="39"/>
      <c r="C26" s="39"/>
      <c r="D26" s="39" t="n">
        <f aca="false">D7</f>
        <v>0</v>
      </c>
    </row>
    <row r="27" customFormat="false" ht="16.5" hidden="false" customHeight="true" outlineLevel="0" collapsed="false">
      <c r="A27" s="34" t="s">
        <v>176</v>
      </c>
      <c r="B27" s="39"/>
      <c r="C27" s="39"/>
      <c r="D27" s="39" t="n">
        <f aca="false">D14*Assumptions!B30*12</f>
        <v>0</v>
      </c>
    </row>
    <row r="28" customFormat="false" ht="16.5" hidden="false" customHeight="true" outlineLevel="0" collapsed="false">
      <c r="A28" s="50" t="s">
        <v>177</v>
      </c>
      <c r="B28" s="51" t="n">
        <f aca="false">IFERROR(B25/B26,0)</f>
        <v>0</v>
      </c>
      <c r="C28" s="51" t="n">
        <f aca="false">IFERROR(C25/C26,0)</f>
        <v>0</v>
      </c>
      <c r="D28" s="51" t="n">
        <f aca="false">IFERROR(D25/D26,0)</f>
        <v>0</v>
      </c>
    </row>
    <row r="29" customFormat="false" ht="16.5" hidden="false" customHeight="true" outlineLevel="0" collapsed="false">
      <c r="A29" s="52" t="s">
        <v>178</v>
      </c>
      <c r="B29" s="53" t="s">
        <v>179</v>
      </c>
      <c r="C29" s="54"/>
      <c r="D29" s="54" t="n">
        <f aca="false">D25/(50*Assumptions!B30*12)</f>
        <v>0</v>
      </c>
    </row>
    <row r="30" customFormat="false" ht="16.5" hidden="false" customHeight="true" outlineLevel="0" collapsed="false">
      <c r="A30" s="55" t="s">
        <v>180</v>
      </c>
      <c r="B30" s="53" t="s">
        <v>181</v>
      </c>
      <c r="C30" s="56"/>
      <c r="D30" s="56" t="n">
        <f aca="false">D25/(200*Assumptions!B30*12)</f>
        <v>0</v>
      </c>
    </row>
    <row r="31" customFormat="false" ht="16.5" hidden="false" customHeight="true" outlineLevel="0" collapsed="false">
      <c r="A31" s="55" t="s">
        <v>182</v>
      </c>
      <c r="B31" s="57" t="s">
        <v>183</v>
      </c>
      <c r="C31" s="56"/>
      <c r="D31" s="56" t="n">
        <f aca="false">D25/(500*Assumptions!B30*12)</f>
        <v>0</v>
      </c>
    </row>
    <row r="32" customFormat="false" ht="15" hidden="false" customHeight="true" outlineLevel="0" collapsed="false">
      <c r="B32" s="58" t="s">
        <v>184</v>
      </c>
    </row>
    <row r="33" customFormat="false" ht="18" hidden="false" customHeight="true" outlineLevel="0" collapsed="false">
      <c r="A33" s="59" t="s">
        <v>185</v>
      </c>
      <c r="B33" s="60"/>
      <c r="C33" s="60"/>
      <c r="D33" s="60"/>
    </row>
    <row r="34" customFormat="false" ht="16.5" hidden="false" customHeight="true" outlineLevel="0" collapsed="false">
      <c r="A34" s="24" t="s">
        <v>186</v>
      </c>
      <c r="B34" s="61" t="s">
        <v>187</v>
      </c>
      <c r="C34" s="61" t="s">
        <v>188</v>
      </c>
      <c r="D34" s="61" t="s">
        <v>189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30" hidden="false" customHeight="true" outlineLevel="0" collapsed="false">
      <c r="A1" s="2" t="s">
        <v>190</v>
      </c>
      <c r="B1" s="2"/>
      <c r="C1" s="2"/>
      <c r="D1" s="2"/>
    </row>
    <row r="2" customFormat="false" ht="15" hidden="false" customHeight="true" outlineLevel="0" collapsed="false">
      <c r="A2" s="14"/>
      <c r="B2" s="15" t="s">
        <v>91</v>
      </c>
      <c r="C2" s="15" t="s">
        <v>92</v>
      </c>
      <c r="D2" s="15" t="s">
        <v>93</v>
      </c>
    </row>
    <row r="3" customFormat="false" ht="18" hidden="false" customHeight="true" outlineLevel="0" collapsed="false">
      <c r="A3" s="4" t="s">
        <v>191</v>
      </c>
      <c r="B3" s="5"/>
      <c r="C3" s="5"/>
      <c r="D3" s="5"/>
    </row>
    <row r="4" customFormat="false" ht="18" hidden="false" customHeight="true" outlineLevel="0" collapsed="false">
      <c r="A4" s="6" t="s">
        <v>107</v>
      </c>
      <c r="B4" s="19" t="n">
        <f aca="false">'User &amp; Revenue'!B16</f>
        <v>0</v>
      </c>
      <c r="C4" s="19" t="n">
        <f aca="false">'User &amp; Revenue'!C16</f>
        <v>0</v>
      </c>
      <c r="D4" s="19" t="n">
        <f aca="false">'User &amp; Revenue'!D16</f>
        <v>0</v>
      </c>
    </row>
    <row r="5" customFormat="false" ht="18" hidden="false" customHeight="true" outlineLevel="0" collapsed="false">
      <c r="A5" s="6" t="s">
        <v>192</v>
      </c>
      <c r="B5" s="19" t="n">
        <f aca="false">'User &amp; Revenue'!B21</f>
        <v>0</v>
      </c>
      <c r="C5" s="19" t="n">
        <f aca="false">'User &amp; Revenue'!C21</f>
        <v>0</v>
      </c>
      <c r="D5" s="19" t="n">
        <f aca="false">'User &amp; Revenue'!D21</f>
        <v>0</v>
      </c>
    </row>
    <row r="6" customFormat="false" ht="18" hidden="false" customHeight="true" outlineLevel="0" collapsed="false">
      <c r="A6" s="62" t="s">
        <v>143</v>
      </c>
      <c r="B6" s="63" t="n">
        <f aca="false">'User &amp; Revenue'!B23</f>
        <v>0</v>
      </c>
      <c r="C6" s="63" t="n">
        <f aca="false">'User &amp; Revenue'!C23</f>
        <v>0</v>
      </c>
      <c r="D6" s="63" t="n">
        <f aca="false">'User &amp; Revenue'!D23</f>
        <v>0</v>
      </c>
    </row>
    <row r="8" customFormat="false" ht="18" hidden="false" customHeight="true" outlineLevel="0" collapsed="false">
      <c r="A8" s="4" t="s">
        <v>193</v>
      </c>
      <c r="B8" s="5"/>
      <c r="C8" s="5"/>
      <c r="D8" s="5"/>
    </row>
    <row r="9" customFormat="false" ht="18" hidden="false" customHeight="true" outlineLevel="0" collapsed="false">
      <c r="A9" s="6" t="s">
        <v>194</v>
      </c>
      <c r="B9" s="19" t="n">
        <f aca="false">'Storage &amp; COGS'!B20</f>
        <v>12288000</v>
      </c>
      <c r="C9" s="19" t="n">
        <f aca="false">'Storage &amp; COGS'!C20</f>
        <v>46694400</v>
      </c>
      <c r="D9" s="19" t="n">
        <f aca="false">'Storage &amp; COGS'!D20</f>
        <v>122880000</v>
      </c>
    </row>
    <row r="10" customFormat="false" ht="18" hidden="false" customHeight="true" outlineLevel="0" collapsed="false">
      <c r="A10" s="6" t="s">
        <v>195</v>
      </c>
      <c r="B10" s="19" t="n">
        <v>0</v>
      </c>
      <c r="C10" s="19" t="n">
        <v>0</v>
      </c>
      <c r="D10" s="19" t="n">
        <v>0</v>
      </c>
    </row>
    <row r="11" customFormat="false" ht="18" hidden="false" customHeight="true" outlineLevel="0" collapsed="false">
      <c r="A11" s="6" t="s">
        <v>196</v>
      </c>
      <c r="B11" s="19" t="n">
        <f aca="false">'Storage &amp; COGS'!B22</f>
        <v>0</v>
      </c>
      <c r="C11" s="19" t="n">
        <f aca="false">'Storage &amp; COGS'!C22</f>
        <v>0</v>
      </c>
      <c r="D11" s="19" t="n">
        <f aca="false">'Storage &amp; COGS'!D22</f>
        <v>0</v>
      </c>
    </row>
    <row r="12" customFormat="false" ht="18" hidden="false" customHeight="true" outlineLevel="0" collapsed="false">
      <c r="A12" s="6" t="s">
        <v>197</v>
      </c>
      <c r="B12" s="19" t="n">
        <f aca="false">'Storage &amp; COGS'!B23</f>
        <v>0</v>
      </c>
      <c r="C12" s="19" t="n">
        <f aca="false">'Storage &amp; COGS'!C23</f>
        <v>0</v>
      </c>
      <c r="D12" s="19" t="n">
        <f aca="false">'Storage &amp; COGS'!D23</f>
        <v>0</v>
      </c>
    </row>
    <row r="13" customFormat="false" ht="18" hidden="false" customHeight="true" outlineLevel="0" collapsed="false">
      <c r="A13" s="6" t="s">
        <v>198</v>
      </c>
      <c r="B13" s="19" t="n">
        <f aca="false">'Storage &amp; COGS'!B24</f>
        <v>0</v>
      </c>
      <c r="C13" s="19" t="n">
        <f aca="false">'Storage &amp; COGS'!C24</f>
        <v>0</v>
      </c>
      <c r="D13" s="19" t="n">
        <f aca="false">'Storage &amp; COGS'!D24</f>
        <v>0</v>
      </c>
    </row>
    <row r="14" customFormat="false" ht="18" hidden="false" customHeight="true" outlineLevel="0" collapsed="false">
      <c r="A14" s="6" t="s">
        <v>199</v>
      </c>
      <c r="B14" s="19" t="n">
        <f aca="false">'Storage &amp; COGS'!B25</f>
        <v>0</v>
      </c>
      <c r="C14" s="19" t="n">
        <f aca="false">'Storage &amp; COGS'!C25</f>
        <v>0.09</v>
      </c>
      <c r="D14" s="19" t="n">
        <f aca="false">'Storage &amp; COGS'!D25</f>
        <v>0.18</v>
      </c>
    </row>
    <row r="15" customFormat="false" ht="18" hidden="false" customHeight="true" outlineLevel="0" collapsed="false">
      <c r="A15" s="6" t="s">
        <v>200</v>
      </c>
      <c r="B15" s="19" t="n">
        <f aca="false">'Storage &amp; COGS'!B26</f>
        <v>0</v>
      </c>
      <c r="C15" s="19" t="n">
        <f aca="false">'Storage &amp; COGS'!C26</f>
        <v>0.023</v>
      </c>
      <c r="D15" s="19" t="n">
        <f aca="false">'Storage &amp; COGS'!D26</f>
        <v>0.09</v>
      </c>
    </row>
    <row r="16" customFormat="false" ht="18" hidden="false" customHeight="true" outlineLevel="0" collapsed="false">
      <c r="A16" s="55" t="s">
        <v>201</v>
      </c>
      <c r="B16" s="64" t="n">
        <f aca="false">SUM(B8:B14)</f>
        <v>12288000</v>
      </c>
      <c r="C16" s="64" t="n">
        <f aca="false">SUM(C8:C14)</f>
        <v>46694400.09</v>
      </c>
      <c r="D16" s="64" t="n">
        <f aca="false">SUM(D8:D14)</f>
        <v>122880000.18</v>
      </c>
    </row>
    <row r="18" customFormat="false" ht="18" hidden="false" customHeight="true" outlineLevel="0" collapsed="false">
      <c r="A18" s="24" t="s">
        <v>202</v>
      </c>
      <c r="B18" s="25" t="n">
        <f aca="false">B6-B16</f>
        <v>-12288000</v>
      </c>
      <c r="C18" s="25" t="n">
        <f aca="false">C6-C16</f>
        <v>-46694400.09</v>
      </c>
      <c r="D18" s="25" t="n">
        <f aca="false">D6-D16</f>
        <v>-122880000.18</v>
      </c>
    </row>
    <row r="19" customFormat="false" ht="18" hidden="false" customHeight="true" outlineLevel="0" collapsed="false">
      <c r="A19" s="24" t="s">
        <v>146</v>
      </c>
      <c r="B19" s="65" t="n">
        <f aca="false">IFERROR(B18/B6,0)</f>
        <v>0</v>
      </c>
      <c r="C19" s="65" t="n">
        <f aca="false">IFERROR(C18/C6,0)</f>
        <v>0</v>
      </c>
      <c r="D19" s="65" t="n">
        <f aca="false">IFERROR(D18/D6,0)</f>
        <v>0</v>
      </c>
    </row>
    <row r="21" customFormat="false" ht="18" hidden="false" customHeight="true" outlineLevel="0" collapsed="false">
      <c r="A21" s="4" t="s">
        <v>203</v>
      </c>
      <c r="B21" s="5"/>
      <c r="C21" s="5"/>
      <c r="D21" s="5"/>
    </row>
    <row r="22" customFormat="false" ht="18" hidden="false" customHeight="true" outlineLevel="0" collapsed="false">
      <c r="A22" s="6" t="s">
        <v>204</v>
      </c>
      <c r="B22" s="19" t="n">
        <f aca="false">Assumptions!B44</f>
        <v>228</v>
      </c>
      <c r="C22" s="19" t="n">
        <f aca="false">Assumptions!B45</f>
        <v>1188</v>
      </c>
      <c r="D22" s="19" t="n">
        <f aca="false">Assumptions!B46</f>
        <v>0.01</v>
      </c>
    </row>
    <row r="23" customFormat="false" ht="18" hidden="false" customHeight="true" outlineLevel="0" collapsed="false">
      <c r="A23" s="6" t="s">
        <v>205</v>
      </c>
      <c r="B23" s="19" t="n">
        <f aca="false">Assumptions!B47</f>
        <v>2400</v>
      </c>
      <c r="C23" s="19" t="n">
        <f aca="false">Assumptions!B48</f>
        <v>0</v>
      </c>
      <c r="D23" s="19" t="n">
        <f aca="false">Assumptions!B49</f>
        <v>0</v>
      </c>
    </row>
    <row r="24" customFormat="false" ht="18" hidden="false" customHeight="true" outlineLevel="0" collapsed="false">
      <c r="A24" s="62" t="s">
        <v>206</v>
      </c>
      <c r="B24" s="63" t="n">
        <f aca="false">SUM(B22:B23)</f>
        <v>2628</v>
      </c>
      <c r="C24" s="63" t="n">
        <f aca="false">SUM(C22:C23)</f>
        <v>1188</v>
      </c>
      <c r="D24" s="63" t="n">
        <f aca="false">SUM(D22:D23)</f>
        <v>0.01</v>
      </c>
    </row>
    <row r="26" customFormat="false" ht="18" hidden="false" customHeight="true" outlineLevel="0" collapsed="false">
      <c r="A26" s="66" t="s">
        <v>207</v>
      </c>
      <c r="B26" s="67" t="n">
        <f aca="false">B18-B24</f>
        <v>-12290628</v>
      </c>
      <c r="C26" s="67" t="n">
        <f aca="false">C18-C24</f>
        <v>-46695588.09</v>
      </c>
      <c r="D26" s="67" t="n">
        <f aca="false">D18-D24</f>
        <v>-122880000.19</v>
      </c>
    </row>
    <row r="27" customFormat="false" ht="18" hidden="false" customHeight="true" outlineLevel="0" collapsed="false">
      <c r="A27" s="66" t="s">
        <v>208</v>
      </c>
      <c r="B27" s="68" t="n">
        <f aca="false">IFERROR(B26/B6,0)</f>
        <v>0</v>
      </c>
      <c r="C27" s="68" t="n">
        <f aca="false">IFERROR(C26/C6,0)</f>
        <v>0</v>
      </c>
      <c r="D27" s="68" t="n">
        <f aca="false">IFERROR(D26/D6,0)</f>
        <v>0</v>
      </c>
    </row>
    <row r="28" customFormat="false" ht="6" hidden="false" customHeight="true" outlineLevel="0" collapsed="false"/>
    <row r="29" customFormat="false" ht="18" hidden="false" customHeight="true" outlineLevel="0" collapsed="false">
      <c r="A29" s="4" t="s">
        <v>209</v>
      </c>
      <c r="B29" s="5"/>
      <c r="C29" s="5"/>
      <c r="D29" s="5"/>
    </row>
    <row r="30" customFormat="false" ht="18" hidden="false" customHeight="true" outlineLevel="0" collapsed="false">
      <c r="A30" s="6" t="s">
        <v>95</v>
      </c>
      <c r="B30" s="16" t="n">
        <f aca="false">'User &amp; Revenue'!B4</f>
        <v>2500</v>
      </c>
      <c r="C30" s="16" t="n">
        <f aca="false">'User &amp; Revenue'!C4</f>
        <v>9500</v>
      </c>
      <c r="D30" s="16" t="n">
        <f aca="false">'User &amp; Revenue'!D4</f>
        <v>25000</v>
      </c>
    </row>
    <row r="31" customFormat="false" ht="18" hidden="false" customHeight="true" outlineLevel="0" collapsed="false">
      <c r="A31" s="6" t="s">
        <v>97</v>
      </c>
      <c r="B31" s="16" t="n">
        <f aca="false">'User &amp; Revenue'!B6</f>
        <v>12500</v>
      </c>
      <c r="C31" s="16" t="n">
        <f aca="false">'User &amp; Revenue'!C6</f>
        <v>47500</v>
      </c>
      <c r="D31" s="16" t="n">
        <f aca="false">'User &amp; Revenue'!D6</f>
        <v>125000</v>
      </c>
    </row>
    <row r="32" customFormat="false" ht="18" hidden="false" customHeight="true" outlineLevel="0" collapsed="false">
      <c r="A32" s="6" t="s">
        <v>210</v>
      </c>
      <c r="B32" s="29" t="n">
        <f aca="false">'Storage &amp; COGS'!B12</f>
        <v>0</v>
      </c>
      <c r="C32" s="29" t="n">
        <f aca="false">'Storage &amp; COGS'!C12</f>
        <v>0</v>
      </c>
      <c r="D32" s="29" t="n">
        <f aca="false">'Storage &amp; COGS'!D12</f>
        <v>0</v>
      </c>
    </row>
    <row r="33" customFormat="false" ht="18" hidden="false" customHeight="true" outlineLevel="0" collapsed="false">
      <c r="A33" s="6" t="s">
        <v>211</v>
      </c>
      <c r="B33" s="69" t="n">
        <f aca="false">IFERROR('Storage &amp; COGS'!B20/'User &amp; Revenue'!B4,0)</f>
        <v>4915.2</v>
      </c>
      <c r="C33" s="69" t="n">
        <f aca="false">IFERROR('Storage &amp; COGS'!C20/'User &amp; Revenue'!C4,0)</f>
        <v>4915.2</v>
      </c>
      <c r="D33" s="69" t="n">
        <f aca="false">IFERROR('Storage &amp; COGS'!D20/'User &amp; Revenue'!D4,0)</f>
        <v>4915.2</v>
      </c>
    </row>
    <row r="34" customFormat="false" ht="18" hidden="false" customHeight="true" outlineLevel="0" collapsed="false">
      <c r="A34" s="6" t="s">
        <v>212</v>
      </c>
      <c r="B34" s="69" t="n">
        <f aca="false">IFERROR('User &amp; Revenue'!B23/'User &amp; Revenue'!B4,0)</f>
        <v>0</v>
      </c>
      <c r="C34" s="69" t="n">
        <f aca="false">IFERROR('User &amp; Revenue'!C23/'User &amp; Revenue'!C4,0)</f>
        <v>0</v>
      </c>
      <c r="D34" s="69" t="n">
        <f aca="false">IFERROR('User &amp; Revenue'!D23/'User &amp; Revenue'!D4,0)</f>
        <v>0</v>
      </c>
    </row>
    <row r="35" customFormat="false" ht="6" hidden="false" customHeight="true" outlineLevel="0" collapsed="false"/>
    <row r="36" customFormat="false" ht="18" hidden="false" customHeight="true" outlineLevel="0" collapsed="false">
      <c r="A36" s="32" t="s">
        <v>213</v>
      </c>
      <c r="B36" s="33"/>
      <c r="C36" s="33"/>
      <c r="D36" s="33"/>
    </row>
    <row r="37" customFormat="false" ht="18" hidden="false" customHeight="true" outlineLevel="0" collapsed="false">
      <c r="A37" s="55" t="s">
        <v>214</v>
      </c>
      <c r="B37" s="64" t="n">
        <f aca="false">'Storage &amp; COGS'!B18</f>
        <v>50</v>
      </c>
      <c r="C37" s="64" t="n">
        <f aca="false">'Storage &amp; COGS'!C18</f>
        <v>150</v>
      </c>
      <c r="D37" s="64" t="n">
        <f aca="false">'Storage &amp; COGS'!D18</f>
        <v>300</v>
      </c>
    </row>
    <row r="38" customFormat="false" ht="18" hidden="false" customHeight="true" outlineLevel="0" collapsed="false">
      <c r="A38" s="55" t="s">
        <v>215</v>
      </c>
      <c r="B38" s="64" t="s">
        <v>148</v>
      </c>
      <c r="C38" s="64" t="s">
        <v>148</v>
      </c>
      <c r="D38" s="64" t="n">
        <f aca="false">D12/1024*0.2*1024*Assumptions!B33*12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2026-05-26T02:19:07Z</dcterms:created>
  <dc:creator>openpyxl</dc:creator>
  <dc:description/>
  <dc:language>en-US</dc:language>
  <cp:lastModifiedBy/>
  <dcterms:modified xsi:type="dcterms:W3CDTF">2026-05-26T02:19:57Z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